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ervynrv/Desktop/SS/"/>
    </mc:Choice>
  </mc:AlternateContent>
  <xr:revisionPtr revIDLastSave="0" documentId="13_ncr:1_{02A88C80-D95F-2A4A-BB7B-82F08B2CFD18}" xr6:coauthVersionLast="47" xr6:coauthVersionMax="47" xr10:uidLastSave="{00000000-0000-0000-0000-000000000000}"/>
  <bookViews>
    <workbookView xWindow="0" yWindow="660" windowWidth="30240" windowHeight="17760" tabRatio="500" xr2:uid="{00000000-000D-0000-FFFF-FFFF00000000}"/>
  </bookViews>
  <sheets>
    <sheet name="Income Statement" sheetId="1" r:id="rId1"/>
    <sheet name="FCFE" sheetId="2" r:id="rId2"/>
    <sheet name="Balance Sheet" sheetId="3" r:id="rId3"/>
    <sheet name="Dividend Analysis" sheetId="4" r:id="rId4"/>
    <sheet name="Revenue Forecast" sheetId="5" r:id="rId5"/>
    <sheet name="FCFE &amp; FCFF" sheetId="6" r:id="rId6"/>
    <sheet name="FCFF" sheetId="7" r:id="rId7"/>
    <sheet name="WES.AX Price History" sheetId="8" r:id="rId8"/>
    <sheet name="ASX200 Price History" sheetId="9" r:id="rId9"/>
    <sheet name="Beta Analysi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9" i="10" l="1"/>
  <c r="D79" i="10"/>
  <c r="E78" i="10"/>
  <c r="D78" i="10"/>
  <c r="E77" i="10"/>
  <c r="D77" i="10"/>
  <c r="E76" i="10"/>
  <c r="D76" i="10"/>
  <c r="E75" i="10"/>
  <c r="D75" i="10"/>
  <c r="E74" i="10"/>
  <c r="D74" i="10"/>
  <c r="E73" i="10"/>
  <c r="D73" i="10"/>
  <c r="E72" i="10"/>
  <c r="D72" i="10"/>
  <c r="E71" i="10"/>
  <c r="D71" i="10"/>
  <c r="E70" i="10"/>
  <c r="D70" i="10"/>
  <c r="E69" i="10"/>
  <c r="D69" i="10"/>
  <c r="E68" i="10"/>
  <c r="D68" i="10"/>
  <c r="E67" i="10"/>
  <c r="D67" i="10"/>
  <c r="E66" i="10"/>
  <c r="D66" i="10"/>
  <c r="E65" i="10"/>
  <c r="D65" i="10"/>
  <c r="E64" i="10"/>
  <c r="D64" i="10"/>
  <c r="E63" i="10"/>
  <c r="D63" i="10"/>
  <c r="E62" i="10"/>
  <c r="D62" i="10"/>
  <c r="E61" i="10"/>
  <c r="D61" i="10"/>
  <c r="E60" i="10"/>
  <c r="D60" i="10"/>
  <c r="E59" i="10"/>
  <c r="D59" i="10"/>
  <c r="E58" i="10"/>
  <c r="D58" i="10"/>
  <c r="E57" i="10"/>
  <c r="D57" i="10"/>
  <c r="E56" i="10"/>
  <c r="D56" i="10"/>
  <c r="E55" i="10"/>
  <c r="D55" i="10"/>
  <c r="E54" i="10"/>
  <c r="D54" i="10"/>
  <c r="E53" i="10"/>
  <c r="D53" i="10"/>
  <c r="E52" i="10"/>
  <c r="D52" i="10"/>
  <c r="E51" i="10"/>
  <c r="D51" i="10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E42" i="10"/>
  <c r="D42" i="10"/>
  <c r="E41" i="10"/>
  <c r="D41" i="10"/>
  <c r="E40" i="10"/>
  <c r="D40" i="10"/>
  <c r="E39" i="10"/>
  <c r="D39" i="10"/>
  <c r="E38" i="10"/>
  <c r="D38" i="10"/>
  <c r="E37" i="10"/>
  <c r="D37" i="10"/>
  <c r="E36" i="10"/>
  <c r="D36" i="10"/>
  <c r="E35" i="10"/>
  <c r="D35" i="10"/>
  <c r="E34" i="10"/>
  <c r="D34" i="10"/>
  <c r="H33" i="10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3" i="10"/>
  <c r="D3" i="10"/>
  <c r="M21" i="6"/>
  <c r="L21" i="6"/>
  <c r="K21" i="6"/>
  <c r="J21" i="6"/>
  <c r="I21" i="6"/>
  <c r="J41" i="5"/>
  <c r="I41" i="5"/>
  <c r="B37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B7" i="4"/>
  <c r="B6" i="4"/>
  <c r="B5" i="4"/>
  <c r="B4" i="4"/>
  <c r="B3" i="4"/>
  <c r="F142" i="3"/>
  <c r="E142" i="3"/>
  <c r="D142" i="3"/>
  <c r="C142" i="3"/>
  <c r="B142" i="3"/>
  <c r="K141" i="3"/>
  <c r="J141" i="3"/>
  <c r="I141" i="3"/>
  <c r="H141" i="3"/>
  <c r="G141" i="3"/>
  <c r="K140" i="3"/>
  <c r="J140" i="3"/>
  <c r="I140" i="3"/>
  <c r="H140" i="3"/>
  <c r="G140" i="3"/>
  <c r="K139" i="3"/>
  <c r="J139" i="3"/>
  <c r="I139" i="3"/>
  <c r="H139" i="3"/>
  <c r="G139" i="3"/>
  <c r="K138" i="3"/>
  <c r="J138" i="3"/>
  <c r="I138" i="3"/>
  <c r="H138" i="3"/>
  <c r="G138" i="3"/>
  <c r="K137" i="3"/>
  <c r="J137" i="3"/>
  <c r="I137" i="3"/>
  <c r="H137" i="3"/>
  <c r="G137" i="3"/>
  <c r="K136" i="3"/>
  <c r="J136" i="3"/>
  <c r="I136" i="3"/>
  <c r="H136" i="3"/>
  <c r="G136" i="3"/>
  <c r="K135" i="3"/>
  <c r="J135" i="3"/>
  <c r="I135" i="3"/>
  <c r="H135" i="3"/>
  <c r="G135" i="3"/>
  <c r="K134" i="3"/>
  <c r="J134" i="3"/>
  <c r="I134" i="3"/>
  <c r="H134" i="3"/>
  <c r="G134" i="3"/>
  <c r="K133" i="3"/>
  <c r="J133" i="3"/>
  <c r="I133" i="3"/>
  <c r="H133" i="3"/>
  <c r="G133" i="3"/>
  <c r="K132" i="3"/>
  <c r="J132" i="3"/>
  <c r="I132" i="3"/>
  <c r="H132" i="3"/>
  <c r="G132" i="3"/>
  <c r="K131" i="3"/>
  <c r="J131" i="3"/>
  <c r="I131" i="3"/>
  <c r="H131" i="3"/>
  <c r="G131" i="3"/>
  <c r="F130" i="3"/>
  <c r="E130" i="3"/>
  <c r="D130" i="3"/>
  <c r="C130" i="3"/>
  <c r="B130" i="3"/>
  <c r="F126" i="3"/>
  <c r="E126" i="3"/>
  <c r="D126" i="3"/>
  <c r="C126" i="3"/>
  <c r="B126" i="3"/>
  <c r="K125" i="3"/>
  <c r="G125" i="3"/>
  <c r="K124" i="3"/>
  <c r="J124" i="3"/>
  <c r="I124" i="3"/>
  <c r="H124" i="3"/>
  <c r="G124" i="3"/>
  <c r="K123" i="3"/>
  <c r="J123" i="3"/>
  <c r="I123" i="3"/>
  <c r="H123" i="3"/>
  <c r="G123" i="3"/>
  <c r="K122" i="3"/>
  <c r="J122" i="3"/>
  <c r="I122" i="3"/>
  <c r="H122" i="3"/>
  <c r="G122" i="3"/>
  <c r="K121" i="3"/>
  <c r="J121" i="3"/>
  <c r="I121" i="3"/>
  <c r="H121" i="3"/>
  <c r="G121" i="3"/>
  <c r="K120" i="3"/>
  <c r="J120" i="3"/>
  <c r="I120" i="3"/>
  <c r="H120" i="3"/>
  <c r="G120" i="3"/>
  <c r="K119" i="3"/>
  <c r="J119" i="3"/>
  <c r="I119" i="3"/>
  <c r="K118" i="3"/>
  <c r="J118" i="3"/>
  <c r="I118" i="3"/>
  <c r="H118" i="3"/>
  <c r="G118" i="3"/>
  <c r="K117" i="3"/>
  <c r="J117" i="3"/>
  <c r="I117" i="3"/>
  <c r="H117" i="3"/>
  <c r="G117" i="3"/>
  <c r="X116" i="3"/>
  <c r="W116" i="3"/>
  <c r="V116" i="3"/>
  <c r="U116" i="3"/>
  <c r="T116" i="3"/>
  <c r="K116" i="3"/>
  <c r="J116" i="3"/>
  <c r="I116" i="3"/>
  <c r="H116" i="3"/>
  <c r="G116" i="3"/>
  <c r="K115" i="3"/>
  <c r="J115" i="3"/>
  <c r="I115" i="3"/>
  <c r="H115" i="3"/>
  <c r="G115" i="3"/>
  <c r="F113" i="3"/>
  <c r="E113" i="3"/>
  <c r="D113" i="3"/>
  <c r="C113" i="3"/>
  <c r="B113" i="3"/>
  <c r="K112" i="3"/>
  <c r="J112" i="3"/>
  <c r="I112" i="3"/>
  <c r="H112" i="3"/>
  <c r="G112" i="3"/>
  <c r="K111" i="3"/>
  <c r="J111" i="3"/>
  <c r="I111" i="3"/>
  <c r="H111" i="3"/>
  <c r="G111" i="3"/>
  <c r="K110" i="3"/>
  <c r="J110" i="3"/>
  <c r="I110" i="3"/>
  <c r="H110" i="3"/>
  <c r="G110" i="3"/>
  <c r="K109" i="3"/>
  <c r="J109" i="3"/>
  <c r="I109" i="3"/>
  <c r="H109" i="3"/>
  <c r="G109" i="3"/>
  <c r="K108" i="3"/>
  <c r="J108" i="3"/>
  <c r="I108" i="3"/>
  <c r="H108" i="3"/>
  <c r="G108" i="3"/>
  <c r="K107" i="3"/>
  <c r="J107" i="3"/>
  <c r="I107" i="3"/>
  <c r="H107" i="3"/>
  <c r="G107" i="3"/>
  <c r="M106" i="3"/>
  <c r="L106" i="3"/>
  <c r="K106" i="3"/>
  <c r="J106" i="3"/>
  <c r="I106" i="3"/>
  <c r="K105" i="3"/>
  <c r="J105" i="3"/>
  <c r="I105" i="3"/>
  <c r="H105" i="3"/>
  <c r="G105" i="3"/>
  <c r="K104" i="3"/>
  <c r="J104" i="3"/>
  <c r="I104" i="3"/>
  <c r="H104" i="3"/>
  <c r="G104" i="3"/>
  <c r="K103" i="3"/>
  <c r="J103" i="3"/>
  <c r="I103" i="3"/>
  <c r="H103" i="3"/>
  <c r="G103" i="3"/>
  <c r="K102" i="3"/>
  <c r="J102" i="3"/>
  <c r="I102" i="3"/>
  <c r="H102" i="3"/>
  <c r="G102" i="3"/>
  <c r="K101" i="3"/>
  <c r="J101" i="3"/>
  <c r="I101" i="3"/>
  <c r="H101" i="3"/>
  <c r="G101" i="3"/>
  <c r="K97" i="3"/>
  <c r="J97" i="3"/>
  <c r="I97" i="3"/>
  <c r="H97" i="3"/>
  <c r="G97" i="3"/>
  <c r="F97" i="3"/>
  <c r="E97" i="3"/>
  <c r="D97" i="3"/>
  <c r="C97" i="3"/>
  <c r="B97" i="3"/>
  <c r="K96" i="3"/>
  <c r="J96" i="3"/>
  <c r="I96" i="3"/>
  <c r="H96" i="3"/>
  <c r="G96" i="3"/>
  <c r="K95" i="3"/>
  <c r="J95" i="3"/>
  <c r="I95" i="3"/>
  <c r="H95" i="3"/>
  <c r="G95" i="3"/>
  <c r="K94" i="3"/>
  <c r="J94" i="3"/>
  <c r="I94" i="3"/>
  <c r="H94" i="3"/>
  <c r="G94" i="3"/>
  <c r="K93" i="3"/>
  <c r="J93" i="3"/>
  <c r="I93" i="3"/>
  <c r="H93" i="3"/>
  <c r="G93" i="3"/>
  <c r="K92" i="3"/>
  <c r="J92" i="3"/>
  <c r="I92" i="3"/>
  <c r="H92" i="3"/>
  <c r="G92" i="3"/>
  <c r="K91" i="3"/>
  <c r="J91" i="3"/>
  <c r="I91" i="3"/>
  <c r="H91" i="3"/>
  <c r="G91" i="3"/>
  <c r="I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K86" i="3"/>
  <c r="J86" i="3"/>
  <c r="I86" i="3"/>
  <c r="H86" i="3"/>
  <c r="G86" i="3"/>
  <c r="K85" i="3"/>
  <c r="J85" i="3"/>
  <c r="I85" i="3"/>
  <c r="H85" i="3"/>
  <c r="G85" i="3"/>
  <c r="K84" i="3"/>
  <c r="J84" i="3"/>
  <c r="I84" i="3"/>
  <c r="H84" i="3"/>
  <c r="G84" i="3"/>
  <c r="I83" i="3"/>
  <c r="K82" i="3"/>
  <c r="J82" i="3"/>
  <c r="I82" i="3"/>
  <c r="H82" i="3"/>
  <c r="G82" i="3"/>
  <c r="K81" i="3"/>
  <c r="J81" i="3"/>
  <c r="I81" i="3"/>
  <c r="H81" i="3"/>
  <c r="G81" i="3"/>
  <c r="K80" i="3"/>
  <c r="J80" i="3"/>
  <c r="I80" i="3"/>
  <c r="H80" i="3"/>
  <c r="G80" i="3"/>
  <c r="K79" i="3"/>
  <c r="J79" i="3"/>
  <c r="I79" i="3"/>
  <c r="H79" i="3"/>
  <c r="G79" i="3"/>
  <c r="K77" i="3"/>
  <c r="J77" i="3"/>
  <c r="I77" i="3"/>
  <c r="H77" i="3"/>
  <c r="G77" i="3"/>
  <c r="K76" i="3"/>
  <c r="J76" i="3"/>
  <c r="I76" i="3"/>
  <c r="H76" i="3"/>
  <c r="G76" i="3"/>
  <c r="G75" i="3"/>
  <c r="K73" i="3"/>
  <c r="J73" i="3"/>
  <c r="I73" i="3"/>
  <c r="H73" i="3"/>
  <c r="G73" i="3"/>
  <c r="J72" i="3"/>
  <c r="I72" i="3"/>
  <c r="H72" i="3"/>
  <c r="G72" i="3"/>
  <c r="J71" i="3"/>
  <c r="I71" i="3"/>
  <c r="H71" i="3"/>
  <c r="G71" i="3"/>
  <c r="K70" i="3"/>
  <c r="J70" i="3"/>
  <c r="I70" i="3"/>
  <c r="H70" i="3"/>
  <c r="G70" i="3"/>
  <c r="K69" i="3"/>
  <c r="J69" i="3"/>
  <c r="I69" i="3"/>
  <c r="H69" i="3"/>
  <c r="G69" i="3"/>
  <c r="K68" i="3"/>
  <c r="J68" i="3"/>
  <c r="I68" i="3"/>
  <c r="H68" i="3"/>
  <c r="G68" i="3"/>
  <c r="K67" i="3"/>
  <c r="J67" i="3"/>
  <c r="I67" i="3"/>
  <c r="H67" i="3"/>
  <c r="G67" i="3"/>
  <c r="K66" i="3"/>
  <c r="J66" i="3"/>
  <c r="I66" i="3"/>
  <c r="H66" i="3"/>
  <c r="G66" i="3"/>
  <c r="K65" i="3"/>
  <c r="J65" i="3"/>
  <c r="I65" i="3"/>
  <c r="H65" i="3"/>
  <c r="G65" i="3"/>
  <c r="K64" i="3"/>
  <c r="J64" i="3"/>
  <c r="I64" i="3"/>
  <c r="H64" i="3"/>
  <c r="G64" i="3"/>
  <c r="K63" i="3"/>
  <c r="J63" i="3"/>
  <c r="I63" i="3"/>
  <c r="H63" i="3"/>
  <c r="G63" i="3"/>
  <c r="K62" i="3"/>
  <c r="J62" i="3"/>
  <c r="I62" i="3"/>
  <c r="H62" i="3"/>
  <c r="G62" i="3"/>
  <c r="K61" i="3"/>
  <c r="J61" i="3"/>
  <c r="I61" i="3"/>
  <c r="H61" i="3"/>
  <c r="G61" i="3"/>
  <c r="K60" i="3"/>
  <c r="J60" i="3"/>
  <c r="I60" i="3"/>
  <c r="H60" i="3"/>
  <c r="G60" i="3"/>
  <c r="K59" i="3"/>
  <c r="J59" i="3"/>
  <c r="I59" i="3"/>
  <c r="H59" i="3"/>
  <c r="G59" i="3"/>
  <c r="K58" i="3"/>
  <c r="J58" i="3"/>
  <c r="I58" i="3"/>
  <c r="H58" i="3"/>
  <c r="G58" i="3"/>
  <c r="K57" i="3"/>
  <c r="J57" i="3"/>
  <c r="I57" i="3"/>
  <c r="H57" i="3"/>
  <c r="G57" i="3"/>
  <c r="K56" i="3"/>
  <c r="J56" i="3"/>
  <c r="I56" i="3"/>
  <c r="H56" i="3"/>
  <c r="G56" i="3"/>
  <c r="K55" i="3"/>
  <c r="J55" i="3"/>
  <c r="I55" i="3"/>
  <c r="H55" i="3"/>
  <c r="G55" i="3"/>
  <c r="K54" i="3"/>
  <c r="J54" i="3"/>
  <c r="I54" i="3"/>
  <c r="H54" i="3"/>
  <c r="G54" i="3"/>
  <c r="K53" i="3"/>
  <c r="J53" i="3"/>
  <c r="I53" i="3"/>
  <c r="H53" i="3"/>
  <c r="G53" i="3"/>
  <c r="K52" i="3"/>
  <c r="J52" i="3"/>
  <c r="I52" i="3"/>
  <c r="H52" i="3"/>
  <c r="G52" i="3"/>
  <c r="K51" i="3"/>
  <c r="J51" i="3"/>
  <c r="I51" i="3"/>
  <c r="H51" i="3"/>
  <c r="G51" i="3"/>
  <c r="K50" i="3"/>
  <c r="J50" i="3"/>
  <c r="I50" i="3"/>
  <c r="H50" i="3"/>
  <c r="G50" i="3"/>
  <c r="K49" i="3"/>
  <c r="J49" i="3"/>
  <c r="I49" i="3"/>
  <c r="H49" i="3"/>
  <c r="G49" i="3"/>
  <c r="K48" i="3"/>
  <c r="J48" i="3"/>
  <c r="I48" i="3"/>
  <c r="H48" i="3"/>
  <c r="G48" i="3"/>
  <c r="K47" i="3"/>
  <c r="J47" i="3"/>
  <c r="I47" i="3"/>
  <c r="H47" i="3"/>
  <c r="G47" i="3"/>
  <c r="K46" i="3"/>
  <c r="J46" i="3"/>
  <c r="I46" i="3"/>
  <c r="H46" i="3"/>
  <c r="G46" i="3"/>
  <c r="K45" i="3"/>
  <c r="J45" i="3"/>
  <c r="I45" i="3"/>
  <c r="H45" i="3"/>
  <c r="G45" i="3"/>
  <c r="K44" i="3"/>
  <c r="J44" i="3"/>
  <c r="I44" i="3"/>
  <c r="H44" i="3"/>
  <c r="G44" i="3"/>
  <c r="K43" i="3"/>
  <c r="J43" i="3"/>
  <c r="I43" i="3"/>
  <c r="H43" i="3"/>
  <c r="G43" i="3"/>
  <c r="K42" i="3"/>
  <c r="J42" i="3"/>
  <c r="I42" i="3"/>
  <c r="H42" i="3"/>
  <c r="G42" i="3"/>
  <c r="K41" i="3"/>
  <c r="J41" i="3"/>
  <c r="I41" i="3"/>
  <c r="H41" i="3"/>
  <c r="G41" i="3"/>
  <c r="K40" i="3"/>
  <c r="J40" i="3"/>
  <c r="I40" i="3"/>
  <c r="H40" i="3"/>
  <c r="G40" i="3"/>
  <c r="K39" i="3"/>
  <c r="J39" i="3"/>
  <c r="I39" i="3"/>
  <c r="H39" i="3"/>
  <c r="G39" i="3"/>
  <c r="X38" i="3"/>
  <c r="W38" i="3"/>
  <c r="V38" i="3"/>
  <c r="U38" i="3"/>
  <c r="T38" i="3"/>
  <c r="M38" i="3"/>
  <c r="L38" i="3"/>
  <c r="K38" i="3"/>
  <c r="J38" i="3"/>
  <c r="I38" i="3"/>
  <c r="M37" i="3"/>
  <c r="L37" i="3"/>
  <c r="K37" i="3"/>
  <c r="J37" i="3"/>
  <c r="I37" i="3"/>
  <c r="F35" i="3"/>
  <c r="E35" i="3"/>
  <c r="D35" i="3"/>
  <c r="C35" i="3"/>
  <c r="B35" i="3"/>
  <c r="K34" i="3"/>
  <c r="J34" i="3"/>
  <c r="I34" i="3"/>
  <c r="H34" i="3"/>
  <c r="G34" i="3"/>
  <c r="K33" i="3"/>
  <c r="J33" i="3"/>
  <c r="I33" i="3"/>
  <c r="H33" i="3"/>
  <c r="G33" i="3"/>
  <c r="L32" i="3"/>
  <c r="K32" i="3"/>
  <c r="J32" i="3"/>
  <c r="I32" i="3"/>
  <c r="H32" i="3"/>
  <c r="K31" i="3"/>
  <c r="J31" i="3"/>
  <c r="I31" i="3"/>
  <c r="H31" i="3"/>
  <c r="G31" i="3"/>
  <c r="K30" i="3"/>
  <c r="J30" i="3"/>
  <c r="I30" i="3"/>
  <c r="H30" i="3"/>
  <c r="G30" i="3"/>
  <c r="K29" i="3"/>
  <c r="J29" i="3"/>
  <c r="I29" i="3"/>
  <c r="H29" i="3"/>
  <c r="G29" i="3"/>
  <c r="K28" i="3"/>
  <c r="J28" i="3"/>
  <c r="I28" i="3"/>
  <c r="H28" i="3"/>
  <c r="G28" i="3"/>
  <c r="P27" i="3"/>
  <c r="O27" i="3"/>
  <c r="L27" i="3"/>
  <c r="I27" i="3"/>
  <c r="H27" i="3"/>
  <c r="P26" i="3"/>
  <c r="O26" i="3"/>
  <c r="K26" i="3"/>
  <c r="J26" i="3"/>
  <c r="I26" i="3"/>
  <c r="H26" i="3"/>
  <c r="G26" i="3"/>
  <c r="K25" i="3"/>
  <c r="J25" i="3"/>
  <c r="I25" i="3"/>
  <c r="H25" i="3"/>
  <c r="G25" i="3"/>
  <c r="K24" i="3"/>
  <c r="J24" i="3"/>
  <c r="I24" i="3"/>
  <c r="H24" i="3"/>
  <c r="G24" i="3"/>
  <c r="K23" i="3"/>
  <c r="J23" i="3"/>
  <c r="I23" i="3"/>
  <c r="H23" i="3"/>
  <c r="G23" i="3"/>
  <c r="K22" i="3"/>
  <c r="J22" i="3"/>
  <c r="I22" i="3"/>
  <c r="H22" i="3"/>
  <c r="G22" i="3"/>
  <c r="K21" i="3"/>
  <c r="J21" i="3"/>
  <c r="I21" i="3"/>
  <c r="H21" i="3"/>
  <c r="G21" i="3"/>
  <c r="K20" i="3"/>
  <c r="J20" i="3"/>
  <c r="I20" i="3"/>
  <c r="H20" i="3"/>
  <c r="G20" i="3"/>
  <c r="F98" i="1"/>
  <c r="E98" i="1"/>
  <c r="D98" i="1"/>
  <c r="C98" i="1"/>
  <c r="B98" i="1"/>
  <c r="S97" i="1"/>
  <c r="R97" i="1"/>
  <c r="Q97" i="1"/>
  <c r="P97" i="1"/>
  <c r="H97" i="1"/>
  <c r="G97" i="1"/>
  <c r="S96" i="1"/>
  <c r="R96" i="1"/>
  <c r="Q96" i="1"/>
  <c r="P96" i="1"/>
  <c r="G96" i="1"/>
  <c r="S95" i="1"/>
  <c r="R95" i="1"/>
  <c r="Q95" i="1"/>
  <c r="P95" i="1"/>
  <c r="H95" i="1"/>
  <c r="G95" i="1"/>
  <c r="S94" i="1"/>
  <c r="R94" i="1"/>
  <c r="Q94" i="1"/>
  <c r="P94" i="1"/>
  <c r="G94" i="1"/>
  <c r="S93" i="1"/>
  <c r="R93" i="1"/>
  <c r="Q93" i="1"/>
  <c r="P93" i="1"/>
  <c r="H93" i="1"/>
  <c r="G93" i="1"/>
  <c r="S92" i="1"/>
  <c r="R92" i="1"/>
  <c r="Q92" i="1"/>
  <c r="P92" i="1"/>
  <c r="H92" i="1"/>
  <c r="G92" i="1"/>
  <c r="S91" i="1"/>
  <c r="R91" i="1"/>
  <c r="Q91" i="1"/>
  <c r="P91" i="1"/>
  <c r="G91" i="1"/>
  <c r="S90" i="1"/>
  <c r="R90" i="1"/>
  <c r="Q90" i="1"/>
  <c r="P90" i="1"/>
  <c r="H90" i="1"/>
  <c r="G90" i="1"/>
  <c r="S89" i="1"/>
  <c r="R89" i="1"/>
  <c r="Q89" i="1"/>
  <c r="P89" i="1"/>
  <c r="H89" i="1"/>
  <c r="G89" i="1"/>
  <c r="S87" i="1"/>
  <c r="R87" i="1"/>
  <c r="Q87" i="1"/>
  <c r="P87" i="1"/>
  <c r="H87" i="1"/>
  <c r="G87" i="1"/>
  <c r="S85" i="1"/>
  <c r="R85" i="1"/>
  <c r="Q85" i="1"/>
  <c r="P85" i="1"/>
  <c r="H85" i="1"/>
  <c r="G85" i="1"/>
  <c r="F84" i="1"/>
  <c r="E84" i="1"/>
  <c r="D84" i="1"/>
  <c r="C84" i="1"/>
  <c r="B84" i="1"/>
  <c r="S83" i="1"/>
  <c r="R83" i="1"/>
  <c r="Q83" i="1"/>
  <c r="P83" i="1"/>
  <c r="H83" i="1"/>
  <c r="G83" i="1"/>
  <c r="S82" i="1"/>
  <c r="R82" i="1"/>
  <c r="Q82" i="1"/>
  <c r="P82" i="1"/>
  <c r="H82" i="1"/>
  <c r="G82" i="1"/>
  <c r="S81" i="1"/>
  <c r="R81" i="1"/>
  <c r="Q81" i="1"/>
  <c r="P81" i="1"/>
  <c r="H81" i="1"/>
  <c r="G81" i="1"/>
  <c r="S79" i="1"/>
  <c r="R79" i="1"/>
  <c r="Q79" i="1"/>
  <c r="P79" i="1"/>
  <c r="H79" i="1"/>
  <c r="G79" i="1"/>
  <c r="S77" i="1"/>
  <c r="R77" i="1"/>
  <c r="Q77" i="1"/>
  <c r="P77" i="1"/>
  <c r="H77" i="1"/>
  <c r="G77" i="1"/>
  <c r="S76" i="1"/>
  <c r="R76" i="1"/>
  <c r="Q76" i="1"/>
  <c r="P76" i="1"/>
  <c r="F72" i="1"/>
  <c r="E72" i="1"/>
  <c r="D72" i="1"/>
  <c r="C72" i="1"/>
  <c r="B72" i="1"/>
  <c r="F52" i="1"/>
  <c r="E52" i="1"/>
  <c r="D52" i="1"/>
  <c r="C52" i="1"/>
  <c r="B52" i="1"/>
  <c r="S51" i="1"/>
  <c r="R51" i="1"/>
  <c r="Q51" i="1"/>
  <c r="P51" i="1"/>
  <c r="H51" i="1"/>
  <c r="G51" i="1"/>
  <c r="S50" i="1"/>
  <c r="R50" i="1"/>
  <c r="Q50" i="1"/>
  <c r="P50" i="1"/>
  <c r="O50" i="1"/>
  <c r="N50" i="1"/>
  <c r="M50" i="1"/>
  <c r="L50" i="1"/>
  <c r="K50" i="1"/>
  <c r="H50" i="1"/>
  <c r="G50" i="1"/>
  <c r="S49" i="1"/>
  <c r="R49" i="1"/>
  <c r="Q49" i="1"/>
  <c r="P49" i="1"/>
  <c r="H49" i="1"/>
  <c r="G49" i="1"/>
  <c r="S47" i="1"/>
  <c r="R47" i="1"/>
  <c r="Q47" i="1"/>
  <c r="P47" i="1"/>
  <c r="H47" i="1"/>
  <c r="G47" i="1"/>
  <c r="F45" i="1"/>
  <c r="E45" i="1"/>
  <c r="D45" i="1"/>
  <c r="C45" i="1"/>
  <c r="B45" i="1"/>
  <c r="S44" i="1"/>
  <c r="R44" i="1"/>
  <c r="Q44" i="1"/>
  <c r="P44" i="1"/>
  <c r="G44" i="1"/>
  <c r="S43" i="1"/>
  <c r="R43" i="1"/>
  <c r="Q43" i="1"/>
  <c r="P43" i="1"/>
  <c r="H43" i="1"/>
  <c r="G43" i="1"/>
  <c r="S42" i="1"/>
  <c r="R42" i="1"/>
  <c r="Q42" i="1"/>
  <c r="P42" i="1"/>
  <c r="H42" i="1"/>
  <c r="G42" i="1"/>
  <c r="S41" i="1"/>
  <c r="R41" i="1"/>
  <c r="Q41" i="1"/>
  <c r="P41" i="1"/>
  <c r="G41" i="1"/>
  <c r="F34" i="1"/>
  <c r="E34" i="1"/>
  <c r="D34" i="1"/>
  <c r="C34" i="1"/>
  <c r="B34" i="1"/>
  <c r="F28" i="1"/>
  <c r="E28" i="1"/>
  <c r="D28" i="1"/>
  <c r="C28" i="1"/>
  <c r="B28" i="1"/>
  <c r="F25" i="1"/>
  <c r="E25" i="1"/>
  <c r="D25" i="1"/>
  <c r="C25" i="1"/>
  <c r="B25" i="1"/>
  <c r="S24" i="1"/>
  <c r="R24" i="1"/>
  <c r="Q24" i="1"/>
  <c r="P24" i="1"/>
  <c r="G24" i="1"/>
  <c r="S23" i="1"/>
  <c r="R23" i="1"/>
  <c r="Q23" i="1"/>
  <c r="P23" i="1"/>
  <c r="G23" i="1"/>
  <c r="S22" i="1"/>
  <c r="R22" i="1"/>
  <c r="Q22" i="1"/>
  <c r="P22" i="1"/>
  <c r="G22" i="1"/>
  <c r="S21" i="1"/>
  <c r="R21" i="1"/>
  <c r="Q21" i="1"/>
  <c r="P21" i="1"/>
  <c r="G21" i="1"/>
  <c r="S20" i="1"/>
  <c r="R20" i="1"/>
  <c r="Q20" i="1"/>
  <c r="P20" i="1"/>
  <c r="G20" i="1"/>
  <c r="H41" i="10" l="1"/>
  <c r="H40" i="10"/>
  <c r="H39" i="10"/>
  <c r="H38" i="10"/>
  <c r="H37" i="10"/>
  <c r="F24" i="7"/>
  <c r="F32" i="7" s="1"/>
  <c r="E24" i="7"/>
  <c r="E32" i="7" s="1"/>
  <c r="D24" i="7"/>
  <c r="D32" i="7" s="1"/>
  <c r="C24" i="7"/>
  <c r="C32" i="7" s="1"/>
  <c r="B24" i="7"/>
  <c r="B32" i="7" s="1"/>
  <c r="K37" i="6"/>
  <c r="M23" i="6"/>
  <c r="L23" i="6"/>
  <c r="K23" i="6"/>
  <c r="J23" i="6"/>
  <c r="I23" i="6"/>
  <c r="M22" i="6"/>
  <c r="L22" i="6"/>
  <c r="K22" i="6"/>
  <c r="J22" i="6"/>
  <c r="I22" i="6"/>
  <c r="C41" i="5"/>
  <c r="C40" i="5"/>
  <c r="C39" i="5"/>
  <c r="C38" i="5"/>
  <c r="B38" i="5"/>
  <c r="C37" i="5"/>
  <c r="C10" i="4"/>
  <c r="D7" i="4"/>
  <c r="C7" i="4"/>
  <c r="D6" i="4"/>
  <c r="C6" i="4"/>
  <c r="D5" i="4"/>
  <c r="C5" i="4"/>
  <c r="D4" i="4"/>
  <c r="C4" i="4"/>
  <c r="D3" i="4"/>
  <c r="F144" i="3"/>
  <c r="E144" i="3"/>
  <c r="D144" i="3"/>
  <c r="C144" i="3"/>
  <c r="B144" i="3"/>
  <c r="K142" i="3"/>
  <c r="J142" i="3"/>
  <c r="I142" i="3"/>
  <c r="H142" i="3"/>
  <c r="G142" i="3"/>
  <c r="X141" i="3"/>
  <c r="W141" i="3"/>
  <c r="V141" i="3"/>
  <c r="U141" i="3"/>
  <c r="T141" i="3"/>
  <c r="P141" i="3"/>
  <c r="O141" i="3"/>
  <c r="N141" i="3"/>
  <c r="M141" i="3"/>
  <c r="L141" i="3"/>
  <c r="Q141" i="3" s="1"/>
  <c r="X140" i="3"/>
  <c r="W140" i="3"/>
  <c r="V140" i="3"/>
  <c r="U140" i="3"/>
  <c r="T140" i="3"/>
  <c r="P140" i="3"/>
  <c r="O140" i="3"/>
  <c r="N140" i="3"/>
  <c r="M140" i="3"/>
  <c r="L140" i="3"/>
  <c r="Q140" i="3" s="1"/>
  <c r="X139" i="3"/>
  <c r="X138" i="3" s="1"/>
  <c r="W139" i="3"/>
  <c r="W138" i="3" s="1"/>
  <c r="V139" i="3"/>
  <c r="V138" i="3" s="1"/>
  <c r="U139" i="3"/>
  <c r="U138" i="3" s="1"/>
  <c r="T139" i="3"/>
  <c r="T138" i="3" s="1"/>
  <c r="P139" i="3"/>
  <c r="O139" i="3"/>
  <c r="N139" i="3"/>
  <c r="M139" i="3"/>
  <c r="L139" i="3"/>
  <c r="Q139" i="3" s="1"/>
  <c r="P138" i="3"/>
  <c r="O138" i="3"/>
  <c r="P137" i="3"/>
  <c r="O137" i="3"/>
  <c r="N137" i="3"/>
  <c r="M137" i="3"/>
  <c r="L137" i="3"/>
  <c r="Q137" i="3" s="1"/>
  <c r="P136" i="3"/>
  <c r="O136" i="3"/>
  <c r="N136" i="3"/>
  <c r="M136" i="3"/>
  <c r="L136" i="3"/>
  <c r="Q136" i="3" s="1"/>
  <c r="X135" i="3"/>
  <c r="X133" i="3" s="1"/>
  <c r="W135" i="3"/>
  <c r="W133" i="3" s="1"/>
  <c r="V135" i="3"/>
  <c r="V133" i="3" s="1"/>
  <c r="U135" i="3"/>
  <c r="U133" i="3" s="1"/>
  <c r="T135" i="3"/>
  <c r="T133" i="3" s="1"/>
  <c r="O135" i="3"/>
  <c r="N135" i="3"/>
  <c r="L135" i="3"/>
  <c r="L134" i="3"/>
  <c r="P132" i="3"/>
  <c r="O132" i="3"/>
  <c r="N132" i="3"/>
  <c r="M132" i="3"/>
  <c r="L132" i="3"/>
  <c r="Q132" i="3" s="1"/>
  <c r="N131" i="3"/>
  <c r="E128" i="3"/>
  <c r="E146" i="3" s="1"/>
  <c r="B128" i="3"/>
  <c r="B146" i="3" s="1"/>
  <c r="J126" i="3"/>
  <c r="O126" i="3" s="1"/>
  <c r="I126" i="3"/>
  <c r="N126" i="3" s="1"/>
  <c r="P125" i="3"/>
  <c r="O125" i="3"/>
  <c r="M125" i="3"/>
  <c r="L125" i="3"/>
  <c r="P124" i="3"/>
  <c r="O124" i="3"/>
  <c r="N124" i="3"/>
  <c r="L124" i="3"/>
  <c r="L123" i="3"/>
  <c r="L122" i="3"/>
  <c r="M121" i="3"/>
  <c r="P120" i="3"/>
  <c r="O120" i="3"/>
  <c r="M120" i="3"/>
  <c r="P119" i="3"/>
  <c r="N119" i="3"/>
  <c r="L119" i="3"/>
  <c r="P118" i="3"/>
  <c r="O118" i="3"/>
  <c r="N118" i="3"/>
  <c r="L118" i="3"/>
  <c r="W117" i="3"/>
  <c r="U117" i="3"/>
  <c r="O117" i="3"/>
  <c r="L117" i="3"/>
  <c r="F17" i="6"/>
  <c r="E17" i="6"/>
  <c r="D17" i="6"/>
  <c r="C17" i="6"/>
  <c r="B17" i="6"/>
  <c r="N138" i="3"/>
  <c r="M138" i="3"/>
  <c r="L138" i="3"/>
  <c r="Q138" i="3" s="1"/>
  <c r="P135" i="3"/>
  <c r="M135" i="3"/>
  <c r="P134" i="3"/>
  <c r="O134" i="3"/>
  <c r="N134" i="3"/>
  <c r="M134" i="3"/>
  <c r="P133" i="3"/>
  <c r="O133" i="3"/>
  <c r="N133" i="3"/>
  <c r="M133" i="3"/>
  <c r="L133" i="3"/>
  <c r="Q133" i="3" s="1"/>
  <c r="P131" i="3"/>
  <c r="O131" i="3"/>
  <c r="M131" i="3"/>
  <c r="L131" i="3"/>
  <c r="Q131" i="3" s="1"/>
  <c r="F128" i="3"/>
  <c r="F146" i="3" s="1"/>
  <c r="D128" i="3"/>
  <c r="D146" i="3" s="1"/>
  <c r="C128" i="3"/>
  <c r="C146" i="3" s="1"/>
  <c r="K126" i="3"/>
  <c r="P126" i="3" s="1"/>
  <c r="H126" i="3"/>
  <c r="M126" i="3" s="1"/>
  <c r="G126" i="3"/>
  <c r="L126" i="3" s="1"/>
  <c r="Q126" i="3" s="1"/>
  <c r="N125" i="3"/>
  <c r="M124" i="3"/>
  <c r="P123" i="3"/>
  <c r="O123" i="3"/>
  <c r="N123" i="3"/>
  <c r="M123" i="3"/>
  <c r="P122" i="3"/>
  <c r="O122" i="3"/>
  <c r="N122" i="3"/>
  <c r="M122" i="3"/>
  <c r="P121" i="3"/>
  <c r="O121" i="3"/>
  <c r="N121" i="3"/>
  <c r="L121" i="3"/>
  <c r="Q121" i="3" s="1"/>
  <c r="N120" i="3"/>
  <c r="L120" i="3"/>
  <c r="Q120" i="3" s="1"/>
  <c r="O119" i="3"/>
  <c r="M119" i="3"/>
  <c r="M118" i="3"/>
  <c r="X117" i="3"/>
  <c r="V117" i="3"/>
  <c r="T117" i="3"/>
  <c r="P117" i="3"/>
  <c r="N117" i="3"/>
  <c r="M117" i="3"/>
  <c r="L116" i="3"/>
  <c r="Q116" i="3" s="1"/>
  <c r="O115" i="3"/>
  <c r="M115" i="3"/>
  <c r="J113" i="3"/>
  <c r="I113" i="3"/>
  <c r="G113" i="3"/>
  <c r="M112" i="3"/>
  <c r="L112" i="3"/>
  <c r="Q112" i="3" s="1"/>
  <c r="M111" i="3"/>
  <c r="L111" i="3"/>
  <c r="Q111" i="3" s="1"/>
  <c r="N110" i="3"/>
  <c r="P109" i="3"/>
  <c r="O109" i="3"/>
  <c r="N109" i="3"/>
  <c r="M109" i="3"/>
  <c r="L109" i="3"/>
  <c r="Q109" i="3" s="1"/>
  <c r="X109" i="3" s="1"/>
  <c r="P108" i="3"/>
  <c r="O108" i="3"/>
  <c r="N108" i="3"/>
  <c r="M108" i="3"/>
  <c r="M107" i="3"/>
  <c r="L107" i="3"/>
  <c r="Q107" i="3" s="1"/>
  <c r="P106" i="3"/>
  <c r="O106" i="3"/>
  <c r="N106" i="3"/>
  <c r="P105" i="3"/>
  <c r="O105" i="3"/>
  <c r="N105" i="3"/>
  <c r="M105" i="3"/>
  <c r="O104" i="3"/>
  <c r="L104" i="3"/>
  <c r="Q104" i="3" s="1"/>
  <c r="O103" i="3"/>
  <c r="M103" i="3"/>
  <c r="L103" i="3"/>
  <c r="Q103" i="3" s="1"/>
  <c r="P102" i="3"/>
  <c r="O102" i="3"/>
  <c r="N102" i="3"/>
  <c r="L102" i="3"/>
  <c r="Q102" i="3" s="1"/>
  <c r="P101" i="3"/>
  <c r="O101" i="3"/>
  <c r="E99" i="3"/>
  <c r="C99" i="3"/>
  <c r="P97" i="3"/>
  <c r="O97" i="3"/>
  <c r="N97" i="3"/>
  <c r="M97" i="3"/>
  <c r="L97" i="3"/>
  <c r="Q97" i="3" s="1"/>
  <c r="P96" i="3"/>
  <c r="O96" i="3"/>
  <c r="N96" i="3"/>
  <c r="M96" i="3"/>
  <c r="L96" i="3"/>
  <c r="Q96" i="3" s="1"/>
  <c r="M95" i="3"/>
  <c r="P94" i="3"/>
  <c r="O94" i="3"/>
  <c r="N94" i="3"/>
  <c r="M94" i="3"/>
  <c r="L94" i="3"/>
  <c r="Q94" i="3" s="1"/>
  <c r="P93" i="3"/>
  <c r="O93" i="3"/>
  <c r="N93" i="3"/>
  <c r="L93" i="3"/>
  <c r="Q93" i="3" s="1"/>
  <c r="G98" i="1"/>
  <c r="H98" i="1" s="1"/>
  <c r="O97" i="1"/>
  <c r="L97" i="1"/>
  <c r="H96" i="1"/>
  <c r="L92" i="1"/>
  <c r="H91" i="1"/>
  <c r="O90" i="1"/>
  <c r="O98" i="1" s="1"/>
  <c r="M90" i="1"/>
  <c r="M98" i="1" s="1"/>
  <c r="L90" i="1"/>
  <c r="L98" i="1" s="1"/>
  <c r="S84" i="1"/>
  <c r="Q84" i="1"/>
  <c r="L51" i="1"/>
  <c r="S45" i="1"/>
  <c r="R45" i="1"/>
  <c r="Q45" i="1"/>
  <c r="P45" i="1"/>
  <c r="H44" i="1"/>
  <c r="M43" i="1"/>
  <c r="M42" i="1"/>
  <c r="K42" i="1"/>
  <c r="H41" i="1"/>
  <c r="P92" i="3"/>
  <c r="O92" i="3"/>
  <c r="N92" i="3"/>
  <c r="M92" i="3"/>
  <c r="L92" i="3"/>
  <c r="Q92" i="3" s="1"/>
  <c r="P91" i="3"/>
  <c r="O91" i="3"/>
  <c r="N91" i="3"/>
  <c r="M91" i="3"/>
  <c r="L91" i="3"/>
  <c r="Q91" i="3" s="1"/>
  <c r="P90" i="3"/>
  <c r="O90" i="3"/>
  <c r="N90" i="3"/>
  <c r="M90" i="3"/>
  <c r="L90" i="3"/>
  <c r="Q90" i="3" s="1"/>
  <c r="P89" i="3"/>
  <c r="O89" i="3"/>
  <c r="N89" i="3"/>
  <c r="M89" i="3"/>
  <c r="L89" i="3"/>
  <c r="Q89" i="3" s="1"/>
  <c r="P88" i="3"/>
  <c r="O88" i="3"/>
  <c r="N88" i="3"/>
  <c r="M88" i="3"/>
  <c r="L88" i="3"/>
  <c r="Q88" i="3" s="1"/>
  <c r="P87" i="3"/>
  <c r="O87" i="3"/>
  <c r="N87" i="3"/>
  <c r="M87" i="3"/>
  <c r="L87" i="3"/>
  <c r="Q87" i="3" s="1"/>
  <c r="P86" i="3"/>
  <c r="O86" i="3"/>
  <c r="N86" i="3"/>
  <c r="M86" i="3"/>
  <c r="L86" i="3"/>
  <c r="Q86" i="3" s="1"/>
  <c r="P85" i="3"/>
  <c r="O85" i="3"/>
  <c r="N85" i="3"/>
  <c r="M85" i="3"/>
  <c r="L85" i="3"/>
  <c r="Q85" i="3" s="1"/>
  <c r="P84" i="3"/>
  <c r="O84" i="3"/>
  <c r="N84" i="3"/>
  <c r="M84" i="3"/>
  <c r="L84" i="3"/>
  <c r="Q84" i="3" s="1"/>
  <c r="P83" i="3"/>
  <c r="O83" i="3"/>
  <c r="N83" i="3"/>
  <c r="M83" i="3"/>
  <c r="L83" i="3"/>
  <c r="Q83" i="3" s="1"/>
  <c r="P82" i="3"/>
  <c r="O82" i="3"/>
  <c r="N82" i="3"/>
  <c r="M82" i="3"/>
  <c r="L82" i="3"/>
  <c r="Q82" i="3" s="1"/>
  <c r="P81" i="3"/>
  <c r="O81" i="3"/>
  <c r="N81" i="3"/>
  <c r="M81" i="3"/>
  <c r="L81" i="3"/>
  <c r="Q81" i="3" s="1"/>
  <c r="P80" i="3"/>
  <c r="O80" i="3"/>
  <c r="N80" i="3"/>
  <c r="M80" i="3"/>
  <c r="L80" i="3"/>
  <c r="Q80" i="3" s="1"/>
  <c r="P79" i="3"/>
  <c r="O79" i="3"/>
  <c r="N79" i="3"/>
  <c r="M79" i="3"/>
  <c r="L79" i="3"/>
  <c r="Q79" i="3" s="1"/>
  <c r="P78" i="3"/>
  <c r="O78" i="3"/>
  <c r="N78" i="3"/>
  <c r="M78" i="3"/>
  <c r="L78" i="3"/>
  <c r="Q78" i="3" s="1"/>
  <c r="P77" i="3"/>
  <c r="O77" i="3"/>
  <c r="N77" i="3"/>
  <c r="M77" i="3"/>
  <c r="L77" i="3"/>
  <c r="Q77" i="3" s="1"/>
  <c r="P76" i="3"/>
  <c r="O76" i="3"/>
  <c r="N76" i="3"/>
  <c r="M76" i="3"/>
  <c r="L76" i="3"/>
  <c r="Q76" i="3" s="1"/>
  <c r="P75" i="3"/>
  <c r="O75" i="3"/>
  <c r="N75" i="3"/>
  <c r="M75" i="3"/>
  <c r="L75" i="3"/>
  <c r="Q75" i="3" s="1"/>
  <c r="P74" i="3"/>
  <c r="O74" i="3"/>
  <c r="N74" i="3"/>
  <c r="M74" i="3"/>
  <c r="L74" i="3"/>
  <c r="Q74" i="3" s="1"/>
  <c r="P73" i="3"/>
  <c r="O73" i="3"/>
  <c r="N73" i="3"/>
  <c r="M73" i="3"/>
  <c r="L73" i="3"/>
  <c r="Q73" i="3" s="1"/>
  <c r="P72" i="3"/>
  <c r="O72" i="3"/>
  <c r="N72" i="3"/>
  <c r="M72" i="3"/>
  <c r="L72" i="3"/>
  <c r="Q72" i="3" s="1"/>
  <c r="P71" i="3"/>
  <c r="O71" i="3"/>
  <c r="N71" i="3"/>
  <c r="M71" i="3"/>
  <c r="L71" i="3"/>
  <c r="Q71" i="3" s="1"/>
  <c r="P70" i="3"/>
  <c r="O70" i="3"/>
  <c r="N70" i="3"/>
  <c r="M70" i="3"/>
  <c r="L70" i="3"/>
  <c r="Q70" i="3" s="1"/>
  <c r="P69" i="3"/>
  <c r="P68" i="3"/>
  <c r="O68" i="3"/>
  <c r="N68" i="3"/>
  <c r="M68" i="3"/>
  <c r="L68" i="3"/>
  <c r="Q68" i="3" s="1"/>
  <c r="P67" i="3"/>
  <c r="O67" i="3"/>
  <c r="N67" i="3"/>
  <c r="M67" i="3"/>
  <c r="L67" i="3"/>
  <c r="Q67" i="3" s="1"/>
  <c r="P66" i="3"/>
  <c r="O66" i="3"/>
  <c r="N66" i="3"/>
  <c r="M66" i="3"/>
  <c r="L66" i="3"/>
  <c r="Q66" i="3" s="1"/>
  <c r="P65" i="3"/>
  <c r="O65" i="3"/>
  <c r="N65" i="3"/>
  <c r="M65" i="3"/>
  <c r="L65" i="3"/>
  <c r="Q65" i="3" s="1"/>
  <c r="P64" i="3"/>
  <c r="O64" i="3"/>
  <c r="N64" i="3"/>
  <c r="M64" i="3"/>
  <c r="L64" i="3"/>
  <c r="Q64" i="3" s="1"/>
  <c r="P63" i="3"/>
  <c r="O63" i="3"/>
  <c r="N63" i="3"/>
  <c r="M63" i="3"/>
  <c r="L63" i="3"/>
  <c r="Q63" i="3" s="1"/>
  <c r="P62" i="3"/>
  <c r="O62" i="3"/>
  <c r="N62" i="3"/>
  <c r="M62" i="3"/>
  <c r="L62" i="3"/>
  <c r="Q62" i="3" s="1"/>
  <c r="P61" i="3"/>
  <c r="O61" i="3"/>
  <c r="N61" i="3"/>
  <c r="M61" i="3"/>
  <c r="L61" i="3"/>
  <c r="Q61" i="3" s="1"/>
  <c r="P60" i="3"/>
  <c r="O60" i="3"/>
  <c r="N60" i="3"/>
  <c r="M60" i="3"/>
  <c r="L60" i="3"/>
  <c r="Q60" i="3" s="1"/>
  <c r="P59" i="3"/>
  <c r="O59" i="3"/>
  <c r="N59" i="3"/>
  <c r="M59" i="3"/>
  <c r="L59" i="3"/>
  <c r="Q59" i="3" s="1"/>
  <c r="P58" i="3"/>
  <c r="O58" i="3"/>
  <c r="N58" i="3"/>
  <c r="M58" i="3"/>
  <c r="L58" i="3"/>
  <c r="Q58" i="3" s="1"/>
  <c r="P57" i="3"/>
  <c r="O57" i="3"/>
  <c r="N57" i="3"/>
  <c r="M57" i="3"/>
  <c r="L57" i="3"/>
  <c r="Q57" i="3" s="1"/>
  <c r="P56" i="3"/>
  <c r="O56" i="3"/>
  <c r="N56" i="3"/>
  <c r="M56" i="3"/>
  <c r="L56" i="3"/>
  <c r="Q56" i="3" s="1"/>
  <c r="P55" i="3"/>
  <c r="O55" i="3"/>
  <c r="N55" i="3"/>
  <c r="M55" i="3"/>
  <c r="L55" i="3"/>
  <c r="Q55" i="3" s="1"/>
  <c r="P54" i="3"/>
  <c r="O54" i="3"/>
  <c r="N54" i="3"/>
  <c r="M54" i="3"/>
  <c r="L54" i="3"/>
  <c r="Q54" i="3" s="1"/>
  <c r="P53" i="3"/>
  <c r="O53" i="3"/>
  <c r="N53" i="3"/>
  <c r="M53" i="3"/>
  <c r="L53" i="3"/>
  <c r="Q53" i="3" s="1"/>
  <c r="P52" i="3"/>
  <c r="O52" i="3"/>
  <c r="N52" i="3"/>
  <c r="M52" i="3"/>
  <c r="L52" i="3"/>
  <c r="Q52" i="3" s="1"/>
  <c r="P51" i="3"/>
  <c r="O51" i="3"/>
  <c r="N51" i="3"/>
  <c r="M51" i="3"/>
  <c r="L51" i="3"/>
  <c r="Q51" i="3" s="1"/>
  <c r="P50" i="3"/>
  <c r="O50" i="3"/>
  <c r="N50" i="3"/>
  <c r="M50" i="3"/>
  <c r="L50" i="3"/>
  <c r="Q50" i="3" s="1"/>
  <c r="P49" i="3"/>
  <c r="O49" i="3"/>
  <c r="N49" i="3"/>
  <c r="M49" i="3"/>
  <c r="L49" i="3"/>
  <c r="Q49" i="3" s="1"/>
  <c r="P48" i="3"/>
  <c r="O48" i="3"/>
  <c r="N48" i="3"/>
  <c r="M48" i="3"/>
  <c r="L48" i="3"/>
  <c r="Q48" i="3" s="1"/>
  <c r="P47" i="3"/>
  <c r="O47" i="3"/>
  <c r="N47" i="3"/>
  <c r="M47" i="3"/>
  <c r="L47" i="3"/>
  <c r="Q47" i="3" s="1"/>
  <c r="P46" i="3"/>
  <c r="O46" i="3"/>
  <c r="N46" i="3"/>
  <c r="M46" i="3"/>
  <c r="L46" i="3"/>
  <c r="Q46" i="3" s="1"/>
  <c r="P45" i="3"/>
  <c r="O45" i="3"/>
  <c r="N45" i="3"/>
  <c r="M45" i="3"/>
  <c r="L45" i="3"/>
  <c r="Q45" i="3" s="1"/>
  <c r="P44" i="3"/>
  <c r="O44" i="3"/>
  <c r="N44" i="3"/>
  <c r="M44" i="3"/>
  <c r="L44" i="3"/>
  <c r="Q44" i="3" s="1"/>
  <c r="P43" i="3"/>
  <c r="O43" i="3"/>
  <c r="N43" i="3"/>
  <c r="M43" i="3"/>
  <c r="L43" i="3"/>
  <c r="Q43" i="3" s="1"/>
  <c r="P42" i="3"/>
  <c r="O42" i="3"/>
  <c r="N42" i="3"/>
  <c r="M42" i="3"/>
  <c r="L42" i="3"/>
  <c r="Q42" i="3" s="1"/>
  <c r="T41" i="3"/>
  <c r="P41" i="3"/>
  <c r="O41" i="3"/>
  <c r="N41" i="3"/>
  <c r="M41" i="3"/>
  <c r="L41" i="3"/>
  <c r="P40" i="3"/>
  <c r="O40" i="3"/>
  <c r="N40" i="3"/>
  <c r="M40" i="3"/>
  <c r="L40" i="3"/>
  <c r="Q40" i="3" s="1"/>
  <c r="P39" i="3"/>
  <c r="O39" i="3"/>
  <c r="N39" i="3"/>
  <c r="M39" i="3"/>
  <c r="L39" i="3"/>
  <c r="Q39" i="3" s="1"/>
  <c r="P38" i="3"/>
  <c r="O38" i="3"/>
  <c r="N38" i="3"/>
  <c r="P37" i="3"/>
  <c r="O37" i="3"/>
  <c r="N37" i="3"/>
  <c r="K35" i="3"/>
  <c r="J35" i="3"/>
  <c r="I35" i="3"/>
  <c r="H35" i="3"/>
  <c r="G35" i="3"/>
  <c r="P34" i="3"/>
  <c r="O34" i="3"/>
  <c r="N34" i="3"/>
  <c r="M34" i="3"/>
  <c r="L34" i="3"/>
  <c r="Q34" i="3" s="1"/>
  <c r="P33" i="3"/>
  <c r="O33" i="3"/>
  <c r="N33" i="3"/>
  <c r="M33" i="3"/>
  <c r="L33" i="3"/>
  <c r="Q33" i="3" s="1"/>
  <c r="P32" i="3"/>
  <c r="O32" i="3"/>
  <c r="N32" i="3"/>
  <c r="M32" i="3"/>
  <c r="P31" i="3"/>
  <c r="O31" i="3"/>
  <c r="N31" i="3"/>
  <c r="M31" i="3"/>
  <c r="L31" i="3"/>
  <c r="Q31" i="3" s="1"/>
  <c r="P30" i="3"/>
  <c r="O30" i="3"/>
  <c r="N30" i="3"/>
  <c r="M30" i="3"/>
  <c r="L30" i="3"/>
  <c r="Q30" i="3" s="1"/>
  <c r="P29" i="3"/>
  <c r="O29" i="3"/>
  <c r="N29" i="3"/>
  <c r="M29" i="3"/>
  <c r="L29" i="3"/>
  <c r="Q29" i="3" s="1"/>
  <c r="P28" i="3"/>
  <c r="O28" i="3"/>
  <c r="N28" i="3"/>
  <c r="M28" i="3"/>
  <c r="L28" i="3"/>
  <c r="Q28" i="3" s="1"/>
  <c r="N27" i="3"/>
  <c r="M27" i="3"/>
  <c r="M92" i="1"/>
  <c r="K92" i="1"/>
  <c r="R84" i="1"/>
  <c r="P84" i="1"/>
  <c r="G84" i="1"/>
  <c r="O51" i="1"/>
  <c r="K51" i="1"/>
  <c r="N43" i="1"/>
  <c r="K43" i="1"/>
  <c r="O42" i="1"/>
  <c r="O69" i="3"/>
  <c r="N69" i="3"/>
  <c r="M69" i="3"/>
  <c r="L69" i="3"/>
  <c r="N97" i="1"/>
  <c r="M97" i="1"/>
  <c r="K97" i="1"/>
  <c r="H94" i="1"/>
  <c r="O92" i="1"/>
  <c r="N92" i="1"/>
  <c r="N90" i="1"/>
  <c r="N98" i="1" s="1"/>
  <c r="K90" i="1"/>
  <c r="K98" i="1" s="1"/>
  <c r="N51" i="1"/>
  <c r="M51" i="1"/>
  <c r="G45" i="1"/>
  <c r="O43" i="1"/>
  <c r="L43" i="1"/>
  <c r="N42" i="1"/>
  <c r="L42" i="1"/>
  <c r="N26" i="3"/>
  <c r="M26" i="3"/>
  <c r="L26" i="3"/>
  <c r="Q26" i="3" s="1"/>
  <c r="P25" i="3"/>
  <c r="O25" i="3"/>
  <c r="N25" i="3"/>
  <c r="M25" i="3"/>
  <c r="L25" i="3"/>
  <c r="Q25" i="3" s="1"/>
  <c r="P24" i="3"/>
  <c r="O24" i="3"/>
  <c r="N24" i="3"/>
  <c r="M24" i="3"/>
  <c r="L24" i="3"/>
  <c r="Q24" i="3" s="1"/>
  <c r="P23" i="3"/>
  <c r="O23" i="3"/>
  <c r="N23" i="3"/>
  <c r="M23" i="3"/>
  <c r="L23" i="3"/>
  <c r="Q23" i="3" s="1"/>
  <c r="P22" i="3"/>
  <c r="O22" i="3"/>
  <c r="N22" i="3"/>
  <c r="M22" i="3"/>
  <c r="L22" i="3"/>
  <c r="Q22" i="3" s="1"/>
  <c r="P21" i="3"/>
  <c r="O21" i="3"/>
  <c r="N21" i="3"/>
  <c r="M21" i="3"/>
  <c r="L21" i="3"/>
  <c r="Q21" i="3" s="1"/>
  <c r="P20" i="3"/>
  <c r="O20" i="3"/>
  <c r="N20" i="3"/>
  <c r="M20" i="3"/>
  <c r="L20" i="3"/>
  <c r="Q20" i="3" s="1"/>
  <c r="R101" i="1"/>
  <c r="Q101" i="1"/>
  <c r="P101" i="1"/>
  <c r="G101" i="1"/>
  <c r="H101" i="1" s="1"/>
  <c r="F99" i="1"/>
  <c r="E99" i="1"/>
  <c r="D99" i="1"/>
  <c r="C99" i="1"/>
  <c r="B99" i="1"/>
  <c r="S98" i="1"/>
  <c r="R98" i="1"/>
  <c r="Q98" i="1"/>
  <c r="P98" i="1"/>
  <c r="G76" i="1"/>
  <c r="H76" i="1" s="1"/>
  <c r="S75" i="1"/>
  <c r="R75" i="1"/>
  <c r="Q75" i="1"/>
  <c r="P75" i="1"/>
  <c r="G75" i="1"/>
  <c r="H75" i="1" s="1"/>
  <c r="S74" i="1"/>
  <c r="R74" i="1"/>
  <c r="Q74" i="1"/>
  <c r="P74" i="1"/>
  <c r="G74" i="1"/>
  <c r="H74" i="1" s="1"/>
  <c r="S73" i="1"/>
  <c r="R73" i="1"/>
  <c r="Q73" i="1"/>
  <c r="P73" i="1"/>
  <c r="G73" i="1"/>
  <c r="H73" i="1" s="1"/>
  <c r="S72" i="1"/>
  <c r="R72" i="1"/>
  <c r="Q72" i="1"/>
  <c r="P72" i="1"/>
  <c r="G72" i="1"/>
  <c r="H72" i="1" s="1"/>
  <c r="S70" i="1"/>
  <c r="R70" i="1"/>
  <c r="Q70" i="1"/>
  <c r="P70" i="1"/>
  <c r="G70" i="1"/>
  <c r="H70" i="1" s="1"/>
  <c r="S68" i="1"/>
  <c r="R68" i="1"/>
  <c r="Q68" i="1"/>
  <c r="P68" i="1"/>
  <c r="G68" i="1"/>
  <c r="H68" i="1" s="1"/>
  <c r="S67" i="1"/>
  <c r="R67" i="1"/>
  <c r="Q67" i="1"/>
  <c r="P67" i="1"/>
  <c r="G67" i="1"/>
  <c r="H67" i="1" s="1"/>
  <c r="S66" i="1"/>
  <c r="R66" i="1"/>
  <c r="Q66" i="1"/>
  <c r="P66" i="1"/>
  <c r="G66" i="1"/>
  <c r="H66" i="1" s="1"/>
  <c r="S65" i="1"/>
  <c r="R65" i="1"/>
  <c r="Q65" i="1"/>
  <c r="P65" i="1"/>
  <c r="G65" i="1"/>
  <c r="H65" i="1" s="1"/>
  <c r="S64" i="1"/>
  <c r="R64" i="1"/>
  <c r="Q64" i="1"/>
  <c r="P64" i="1"/>
  <c r="G64" i="1"/>
  <c r="H64" i="1" s="1"/>
  <c r="S63" i="1"/>
  <c r="R63" i="1"/>
  <c r="Q63" i="1"/>
  <c r="P63" i="1"/>
  <c r="G63" i="1"/>
  <c r="H63" i="1" s="1"/>
  <c r="S62" i="1"/>
  <c r="R62" i="1"/>
  <c r="Q62" i="1"/>
  <c r="P62" i="1"/>
  <c r="G62" i="1"/>
  <c r="H62" i="1" s="1"/>
  <c r="S61" i="1"/>
  <c r="R61" i="1"/>
  <c r="Q61" i="1"/>
  <c r="P61" i="1"/>
  <c r="G61" i="1"/>
  <c r="H61" i="1" s="1"/>
  <c r="S59" i="1"/>
  <c r="R59" i="1"/>
  <c r="Q59" i="1"/>
  <c r="P59" i="1"/>
  <c r="G59" i="1"/>
  <c r="H59" i="1" s="1"/>
  <c r="S58" i="1"/>
  <c r="R58" i="1"/>
  <c r="Q58" i="1"/>
  <c r="P58" i="1"/>
  <c r="G58" i="1"/>
  <c r="H58" i="1" s="1"/>
  <c r="S57" i="1"/>
  <c r="R57" i="1"/>
  <c r="Q57" i="1"/>
  <c r="P57" i="1"/>
  <c r="G57" i="1"/>
  <c r="H57" i="1" s="1"/>
  <c r="S56" i="1"/>
  <c r="R56" i="1"/>
  <c r="Q56" i="1"/>
  <c r="P56" i="1"/>
  <c r="G56" i="1"/>
  <c r="H56" i="1" s="1"/>
  <c r="S55" i="1"/>
  <c r="R55" i="1"/>
  <c r="Q55" i="1"/>
  <c r="P55" i="1"/>
  <c r="G55" i="1"/>
  <c r="H55" i="1" s="1"/>
  <c r="S54" i="1"/>
  <c r="R54" i="1"/>
  <c r="Q54" i="1"/>
  <c r="P54" i="1"/>
  <c r="G54" i="1"/>
  <c r="H54" i="1" s="1"/>
  <c r="S53" i="1"/>
  <c r="R53" i="1"/>
  <c r="Q53" i="1"/>
  <c r="P53" i="1"/>
  <c r="G53" i="1"/>
  <c r="H53" i="1" s="1"/>
  <c r="S52" i="1"/>
  <c r="R52" i="1"/>
  <c r="Q52" i="1"/>
  <c r="P52" i="1"/>
  <c r="G52" i="1"/>
  <c r="H52" i="1" s="1"/>
  <c r="S40" i="1"/>
  <c r="R40" i="1"/>
  <c r="Q40" i="1"/>
  <c r="P40" i="1"/>
  <c r="G40" i="1"/>
  <c r="H40" i="1" s="1"/>
  <c r="S39" i="1"/>
  <c r="R39" i="1"/>
  <c r="Q39" i="1"/>
  <c r="P39" i="1"/>
  <c r="G39" i="1"/>
  <c r="H39" i="1" s="1"/>
  <c r="S38" i="1"/>
  <c r="R38" i="1"/>
  <c r="Q38" i="1"/>
  <c r="P38" i="1"/>
  <c r="G38" i="1"/>
  <c r="H38" i="1" s="1"/>
  <c r="S37" i="1"/>
  <c r="R37" i="1"/>
  <c r="Q37" i="1"/>
  <c r="P37" i="1"/>
  <c r="G37" i="1"/>
  <c r="H37" i="1" s="1"/>
  <c r="S36" i="1"/>
  <c r="R36" i="1"/>
  <c r="Q36" i="1"/>
  <c r="P36" i="1"/>
  <c r="G36" i="1"/>
  <c r="H36" i="1" s="1"/>
  <c r="S35" i="1"/>
  <c r="R35" i="1"/>
  <c r="Q35" i="1"/>
  <c r="P35" i="1"/>
  <c r="G35" i="1"/>
  <c r="H35" i="1" s="1"/>
  <c r="S34" i="1"/>
  <c r="R34" i="1"/>
  <c r="Q34" i="1"/>
  <c r="P34" i="1"/>
  <c r="G34" i="1"/>
  <c r="H34" i="1" s="1"/>
  <c r="F33" i="1"/>
  <c r="S33" i="1" s="1"/>
  <c r="E33" i="1"/>
  <c r="R33" i="1" s="1"/>
  <c r="D33" i="1"/>
  <c r="Q33" i="1" s="1"/>
  <c r="C33" i="1"/>
  <c r="P33" i="1" s="1"/>
  <c r="B33" i="1"/>
  <c r="G33" i="1" s="1"/>
  <c r="H33" i="1" s="1"/>
  <c r="S32" i="1"/>
  <c r="R32" i="1"/>
  <c r="Q32" i="1"/>
  <c r="P32" i="1"/>
  <c r="G32" i="1"/>
  <c r="H32" i="1" s="1"/>
  <c r="S31" i="1"/>
  <c r="R31" i="1"/>
  <c r="Q31" i="1"/>
  <c r="P31" i="1"/>
  <c r="G31" i="1"/>
  <c r="H31" i="1" s="1"/>
  <c r="S30" i="1"/>
  <c r="R30" i="1"/>
  <c r="Q30" i="1"/>
  <c r="P30" i="1"/>
  <c r="K30" i="1"/>
  <c r="G30" i="1"/>
  <c r="H30" i="1" s="1"/>
  <c r="S29" i="1"/>
  <c r="R29" i="1"/>
  <c r="Q29" i="1"/>
  <c r="P29" i="1"/>
  <c r="G29" i="1"/>
  <c r="H29" i="1" s="1"/>
  <c r="S28" i="1"/>
  <c r="R28" i="1"/>
  <c r="Q28" i="1"/>
  <c r="P28" i="1"/>
  <c r="G28" i="1"/>
  <c r="H28" i="1" s="1"/>
  <c r="S27" i="1"/>
  <c r="R27" i="1"/>
  <c r="Q27" i="1"/>
  <c r="P27" i="1"/>
  <c r="G27" i="1"/>
  <c r="H27" i="1" s="1"/>
  <c r="S25" i="1"/>
  <c r="R25" i="1"/>
  <c r="Q25" i="1"/>
  <c r="P25" i="1"/>
  <c r="G25" i="1"/>
  <c r="H25" i="1" s="1"/>
  <c r="H24" i="1"/>
  <c r="H23" i="1"/>
  <c r="H22" i="1"/>
  <c r="H21" i="1"/>
  <c r="H20" i="1"/>
  <c r="P116" i="3"/>
  <c r="O116" i="3"/>
  <c r="N116" i="3"/>
  <c r="M116" i="3"/>
  <c r="P115" i="3"/>
  <c r="N115" i="3"/>
  <c r="L115" i="3"/>
  <c r="K113" i="3"/>
  <c r="H113" i="3"/>
  <c r="P112" i="3"/>
  <c r="O112" i="3"/>
  <c r="N112" i="3"/>
  <c r="P111" i="3"/>
  <c r="O111" i="3"/>
  <c r="N111" i="3"/>
  <c r="P110" i="3"/>
  <c r="O110" i="3"/>
  <c r="M110" i="3"/>
  <c r="L110" i="3"/>
  <c r="L108" i="3"/>
  <c r="P107" i="3"/>
  <c r="O107" i="3"/>
  <c r="N107" i="3"/>
  <c r="L105" i="3"/>
  <c r="P104" i="3"/>
  <c r="N104" i="3"/>
  <c r="M104" i="3"/>
  <c r="P103" i="3"/>
  <c r="N103" i="3"/>
  <c r="M102" i="3"/>
  <c r="N101" i="3"/>
  <c r="M101" i="3"/>
  <c r="L101" i="3"/>
  <c r="F99" i="3"/>
  <c r="D99" i="3"/>
  <c r="B99" i="3"/>
  <c r="P95" i="3"/>
  <c r="O95" i="3"/>
  <c r="N95" i="3"/>
  <c r="L95" i="3"/>
  <c r="M93" i="3"/>
  <c r="D38" i="5" l="1"/>
  <c r="F38" i="5" s="1"/>
  <c r="B39" i="5"/>
  <c r="P142" i="3"/>
  <c r="K144" i="3"/>
  <c r="P144" i="3" s="1"/>
  <c r="K130" i="3"/>
  <c r="P130" i="3" s="1"/>
  <c r="O142" i="3"/>
  <c r="J144" i="3"/>
  <c r="O144" i="3" s="1"/>
  <c r="J130" i="3"/>
  <c r="O130" i="3" s="1"/>
  <c r="N142" i="3"/>
  <c r="I144" i="3"/>
  <c r="N144" i="3" s="1"/>
  <c r="I130" i="3"/>
  <c r="N130" i="3" s="1"/>
  <c r="M142" i="3"/>
  <c r="H144" i="3"/>
  <c r="M144" i="3" s="1"/>
  <c r="H130" i="3"/>
  <c r="M130" i="3" s="1"/>
  <c r="L142" i="3"/>
  <c r="Q142" i="3" s="1"/>
  <c r="G144" i="3"/>
  <c r="L144" i="3" s="1"/>
  <c r="Q144" i="3" s="1"/>
  <c r="G130" i="3"/>
  <c r="L130" i="3" s="1"/>
  <c r="Q130" i="3" s="1"/>
  <c r="O113" i="3"/>
  <c r="J128" i="3"/>
  <c r="N113" i="3"/>
  <c r="I128" i="3"/>
  <c r="G128" i="3"/>
  <c r="L113" i="3"/>
  <c r="Q113" i="3" s="1"/>
  <c r="U112" i="3"/>
  <c r="W112" i="3"/>
  <c r="T112" i="3"/>
  <c r="V112" i="3"/>
  <c r="X112" i="3"/>
  <c r="T111" i="3"/>
  <c r="V111" i="3"/>
  <c r="X111" i="3"/>
  <c r="U111" i="3"/>
  <c r="W111" i="3"/>
  <c r="T107" i="3"/>
  <c r="U107" i="3"/>
  <c r="V107" i="3"/>
  <c r="X107" i="3"/>
  <c r="W107" i="3"/>
  <c r="U104" i="3"/>
  <c r="W104" i="3"/>
  <c r="X104" i="3"/>
  <c r="T104" i="3"/>
  <c r="V104" i="3"/>
  <c r="W102" i="3"/>
  <c r="X102" i="3"/>
  <c r="T96" i="3"/>
  <c r="U96" i="3"/>
  <c r="V96" i="3"/>
  <c r="W96" i="3"/>
  <c r="X96" i="3"/>
  <c r="T94" i="3"/>
  <c r="U94" i="3"/>
  <c r="X94" i="3"/>
  <c r="V93" i="3"/>
  <c r="X93" i="3"/>
  <c r="K44" i="1"/>
  <c r="L44" i="1"/>
  <c r="M44" i="1"/>
  <c r="N44" i="1"/>
  <c r="O44" i="1"/>
  <c r="K41" i="1"/>
  <c r="L41" i="1"/>
  <c r="N41" i="1"/>
  <c r="O41" i="1"/>
  <c r="M41" i="1"/>
  <c r="T92" i="3"/>
  <c r="W92" i="3"/>
  <c r="U92" i="3"/>
  <c r="V92" i="3"/>
  <c r="X92" i="3"/>
  <c r="T91" i="3"/>
  <c r="U91" i="3"/>
  <c r="V91" i="3"/>
  <c r="W91" i="3"/>
  <c r="X91" i="3"/>
  <c r="T89" i="3"/>
  <c r="U89" i="3"/>
  <c r="V89" i="3"/>
  <c r="W89" i="3"/>
  <c r="X89" i="3"/>
  <c r="T88" i="3"/>
  <c r="U88" i="3"/>
  <c r="V88" i="3"/>
  <c r="W88" i="3"/>
  <c r="X88" i="3"/>
  <c r="T87" i="3"/>
  <c r="U87" i="3"/>
  <c r="V87" i="3"/>
  <c r="W87" i="3"/>
  <c r="X87" i="3"/>
  <c r="T86" i="3"/>
  <c r="U86" i="3"/>
  <c r="V86" i="3"/>
  <c r="W86" i="3"/>
  <c r="X86" i="3"/>
  <c r="T85" i="3"/>
  <c r="U85" i="3"/>
  <c r="V85" i="3"/>
  <c r="W85" i="3"/>
  <c r="X85" i="3"/>
  <c r="T84" i="3"/>
  <c r="U84" i="3"/>
  <c r="V84" i="3"/>
  <c r="W84" i="3"/>
  <c r="X84" i="3"/>
  <c r="T82" i="3"/>
  <c r="U82" i="3"/>
  <c r="V82" i="3"/>
  <c r="W82" i="3"/>
  <c r="X82" i="3"/>
  <c r="T81" i="3"/>
  <c r="U81" i="3"/>
  <c r="V81" i="3"/>
  <c r="W81" i="3"/>
  <c r="X81" i="3"/>
  <c r="T80" i="3"/>
  <c r="U80" i="3"/>
  <c r="V80" i="3"/>
  <c r="W80" i="3"/>
  <c r="X80" i="3"/>
  <c r="T79" i="3"/>
  <c r="T77" i="3" s="1"/>
  <c r="U79" i="3"/>
  <c r="U77" i="3" s="1"/>
  <c r="V79" i="3"/>
  <c r="V77" i="3" s="1"/>
  <c r="W79" i="3"/>
  <c r="W77" i="3" s="1"/>
  <c r="X79" i="3"/>
  <c r="X77" i="3" s="1"/>
  <c r="T76" i="3"/>
  <c r="U76" i="3"/>
  <c r="V76" i="3"/>
  <c r="W76" i="3"/>
  <c r="X76" i="3"/>
  <c r="T75" i="3"/>
  <c r="T73" i="3" s="1"/>
  <c r="U75" i="3"/>
  <c r="U73" i="3" s="1"/>
  <c r="V75" i="3"/>
  <c r="V73" i="3" s="1"/>
  <c r="W75" i="3"/>
  <c r="W73" i="3" s="1"/>
  <c r="X75" i="3"/>
  <c r="X73" i="3" s="1"/>
  <c r="T71" i="3"/>
  <c r="T72" i="3" s="1"/>
  <c r="U71" i="3"/>
  <c r="U72" i="3" s="1"/>
  <c r="V71" i="3"/>
  <c r="V72" i="3" s="1"/>
  <c r="W71" i="3"/>
  <c r="W72" i="3" s="1"/>
  <c r="X71" i="3"/>
  <c r="X72" i="3" s="1"/>
  <c r="T67" i="3"/>
  <c r="U67" i="3"/>
  <c r="V67" i="3"/>
  <c r="W67" i="3"/>
  <c r="X67" i="3"/>
  <c r="T66" i="3"/>
  <c r="U66" i="3"/>
  <c r="V66" i="3"/>
  <c r="W66" i="3"/>
  <c r="X66" i="3"/>
  <c r="T65" i="3"/>
  <c r="U65" i="3"/>
  <c r="V65" i="3"/>
  <c r="W65" i="3"/>
  <c r="X65" i="3"/>
  <c r="T63" i="3"/>
  <c r="T64" i="3" s="1"/>
  <c r="U63" i="3"/>
  <c r="U64" i="3" s="1"/>
  <c r="V63" i="3"/>
  <c r="V64" i="3" s="1"/>
  <c r="W63" i="3"/>
  <c r="W64" i="3" s="1"/>
  <c r="X63" i="3"/>
  <c r="X64" i="3" s="1"/>
  <c r="T61" i="3"/>
  <c r="T62" i="3" s="1"/>
  <c r="U61" i="3"/>
  <c r="U62" i="3" s="1"/>
  <c r="V61" i="3"/>
  <c r="V62" i="3" s="1"/>
  <c r="W61" i="3"/>
  <c r="W62" i="3" s="1"/>
  <c r="X61" i="3"/>
  <c r="X62" i="3" s="1"/>
  <c r="T59" i="3"/>
  <c r="T60" i="3" s="1"/>
  <c r="U59" i="3"/>
  <c r="U60" i="3" s="1"/>
  <c r="V59" i="3"/>
  <c r="V60" i="3" s="1"/>
  <c r="W59" i="3"/>
  <c r="W60" i="3" s="1"/>
  <c r="X59" i="3"/>
  <c r="X60" i="3" s="1"/>
  <c r="T58" i="3"/>
  <c r="U58" i="3"/>
  <c r="V58" i="3"/>
  <c r="W58" i="3"/>
  <c r="X58" i="3"/>
  <c r="T57" i="3"/>
  <c r="U57" i="3"/>
  <c r="V57" i="3"/>
  <c r="W57" i="3"/>
  <c r="X57" i="3"/>
  <c r="T56" i="3"/>
  <c r="U56" i="3"/>
  <c r="V56" i="3"/>
  <c r="W56" i="3"/>
  <c r="X56" i="3"/>
  <c r="T55" i="3"/>
  <c r="U55" i="3"/>
  <c r="V55" i="3"/>
  <c r="W55" i="3"/>
  <c r="X55" i="3"/>
  <c r="T54" i="3"/>
  <c r="U54" i="3"/>
  <c r="V54" i="3"/>
  <c r="W54" i="3"/>
  <c r="X54" i="3"/>
  <c r="T52" i="3"/>
  <c r="T53" i="3" s="1"/>
  <c r="U52" i="3"/>
  <c r="U53" i="3" s="1"/>
  <c r="V52" i="3"/>
  <c r="V53" i="3" s="1"/>
  <c r="W52" i="3"/>
  <c r="W53" i="3" s="1"/>
  <c r="X52" i="3"/>
  <c r="X53" i="3" s="1"/>
  <c r="T50" i="3"/>
  <c r="T51" i="3" s="1"/>
  <c r="U50" i="3"/>
  <c r="U51" i="3" s="1"/>
  <c r="V50" i="3"/>
  <c r="V51" i="3" s="1"/>
  <c r="W50" i="3"/>
  <c r="W51" i="3" s="1"/>
  <c r="X50" i="3"/>
  <c r="X51" i="3" s="1"/>
  <c r="T47" i="3"/>
  <c r="U47" i="3"/>
  <c r="V47" i="3"/>
  <c r="W47" i="3"/>
  <c r="X47" i="3"/>
  <c r="T46" i="3"/>
  <c r="U46" i="3"/>
  <c r="V46" i="3"/>
  <c r="W46" i="3"/>
  <c r="X46" i="3"/>
  <c r="T45" i="3"/>
  <c r="U45" i="3"/>
  <c r="V45" i="3"/>
  <c r="W45" i="3"/>
  <c r="X45" i="3"/>
  <c r="T44" i="3"/>
  <c r="U44" i="3"/>
  <c r="V44" i="3"/>
  <c r="W44" i="3"/>
  <c r="X44" i="3"/>
  <c r="T43" i="3"/>
  <c r="U43" i="3"/>
  <c r="V43" i="3"/>
  <c r="W43" i="3"/>
  <c r="X43" i="3"/>
  <c r="T42" i="3"/>
  <c r="B5" i="6"/>
  <c r="B16" i="6"/>
  <c r="B23" i="7"/>
  <c r="B22" i="2"/>
  <c r="L30" i="1"/>
  <c r="T40" i="3"/>
  <c r="U40" i="3"/>
  <c r="V40" i="3"/>
  <c r="W40" i="3"/>
  <c r="X40" i="3"/>
  <c r="T39" i="3"/>
  <c r="T97" i="3" s="1"/>
  <c r="U39" i="3"/>
  <c r="V39" i="3"/>
  <c r="W39" i="3"/>
  <c r="X39" i="3"/>
  <c r="P35" i="3"/>
  <c r="K99" i="3"/>
  <c r="P99" i="3" s="1"/>
  <c r="O35" i="3"/>
  <c r="J99" i="3"/>
  <c r="O99" i="3" s="1"/>
  <c r="N35" i="3"/>
  <c r="I99" i="3"/>
  <c r="N99" i="3" s="1"/>
  <c r="M35" i="3"/>
  <c r="H99" i="3"/>
  <c r="M99" i="3" s="1"/>
  <c r="L35" i="3"/>
  <c r="Q35" i="3" s="1"/>
  <c r="G99" i="3"/>
  <c r="L99" i="3" s="1"/>
  <c r="Q99" i="3" s="1"/>
  <c r="T33" i="3"/>
  <c r="T34" i="3" s="1"/>
  <c r="U33" i="3"/>
  <c r="U34" i="3" s="1"/>
  <c r="V33" i="3"/>
  <c r="V34" i="3" s="1"/>
  <c r="W33" i="3"/>
  <c r="W34" i="3" s="1"/>
  <c r="X33" i="3"/>
  <c r="X34" i="3" s="1"/>
  <c r="T31" i="3"/>
  <c r="U31" i="3"/>
  <c r="V31" i="3"/>
  <c r="W31" i="3"/>
  <c r="X31" i="3"/>
  <c r="T30" i="3"/>
  <c r="U30" i="3"/>
  <c r="V30" i="3"/>
  <c r="W30" i="3"/>
  <c r="X30" i="3"/>
  <c r="T29" i="3"/>
  <c r="U29" i="3"/>
  <c r="V29" i="3"/>
  <c r="W29" i="3"/>
  <c r="X29" i="3"/>
  <c r="T28" i="3"/>
  <c r="U28" i="3"/>
  <c r="V28" i="3"/>
  <c r="W28" i="3"/>
  <c r="X28" i="3"/>
  <c r="T26" i="3"/>
  <c r="U26" i="3"/>
  <c r="V26" i="3"/>
  <c r="W26" i="3"/>
  <c r="X26" i="3"/>
  <c r="T25" i="3"/>
  <c r="U25" i="3"/>
  <c r="V25" i="3"/>
  <c r="W25" i="3"/>
  <c r="X25" i="3"/>
  <c r="T24" i="3"/>
  <c r="U24" i="3"/>
  <c r="V24" i="3"/>
  <c r="W24" i="3"/>
  <c r="X24" i="3"/>
  <c r="T23" i="3"/>
  <c r="U23" i="3"/>
  <c r="V23" i="3"/>
  <c r="W23" i="3"/>
  <c r="X23" i="3"/>
  <c r="T22" i="3"/>
  <c r="U22" i="3"/>
  <c r="V22" i="3"/>
  <c r="W22" i="3"/>
  <c r="X22" i="3"/>
  <c r="S99" i="1"/>
  <c r="F100" i="1"/>
  <c r="S100" i="1" s="1"/>
  <c r="R99" i="1"/>
  <c r="E100" i="1"/>
  <c r="R100" i="1" s="1"/>
  <c r="Q99" i="1"/>
  <c r="D100" i="1"/>
  <c r="Q100" i="1" s="1"/>
  <c r="P99" i="1"/>
  <c r="C100" i="1"/>
  <c r="P100" i="1" s="1"/>
  <c r="G99" i="1"/>
  <c r="B100" i="1"/>
  <c r="G100" i="1" s="1"/>
  <c r="O76" i="1"/>
  <c r="O77" i="1" s="1"/>
  <c r="L76" i="1"/>
  <c r="L77" i="1" s="1"/>
  <c r="K76" i="1"/>
  <c r="K77" i="1" s="1"/>
  <c r="M76" i="1"/>
  <c r="M77" i="1" s="1"/>
  <c r="N76" i="1"/>
  <c r="N77" i="1" s="1"/>
  <c r="K75" i="1"/>
  <c r="L75" i="1"/>
  <c r="M75" i="1"/>
  <c r="N75" i="1"/>
  <c r="O75" i="1"/>
  <c r="K74" i="1"/>
  <c r="L74" i="1"/>
  <c r="M74" i="1"/>
  <c r="N74" i="1"/>
  <c r="O74" i="1"/>
  <c r="K68" i="1"/>
  <c r="L68" i="1"/>
  <c r="M68" i="1"/>
  <c r="N68" i="1"/>
  <c r="O68" i="1"/>
  <c r="K66" i="1"/>
  <c r="L66" i="1"/>
  <c r="M66" i="1"/>
  <c r="N66" i="1"/>
  <c r="O66" i="1"/>
  <c r="K64" i="1"/>
  <c r="L64" i="1"/>
  <c r="M64" i="1"/>
  <c r="N64" i="1"/>
  <c r="O64" i="1"/>
  <c r="K63" i="1"/>
  <c r="L63" i="1"/>
  <c r="M63" i="1"/>
  <c r="N63" i="1"/>
  <c r="O63" i="1"/>
  <c r="K62" i="1"/>
  <c r="L62" i="1"/>
  <c r="M62" i="1"/>
  <c r="N62" i="1"/>
  <c r="O62" i="1"/>
  <c r="K61" i="1"/>
  <c r="L61" i="1"/>
  <c r="M61" i="1"/>
  <c r="N61" i="1"/>
  <c r="O61" i="1"/>
  <c r="K56" i="1"/>
  <c r="L56" i="1"/>
  <c r="M56" i="1"/>
  <c r="N56" i="1"/>
  <c r="O56" i="1"/>
  <c r="K55" i="1"/>
  <c r="L55" i="1"/>
  <c r="M55" i="1"/>
  <c r="N55" i="1"/>
  <c r="O55" i="1"/>
  <c r="K54" i="1"/>
  <c r="L54" i="1"/>
  <c r="M54" i="1"/>
  <c r="N54" i="1"/>
  <c r="O54" i="1"/>
  <c r="K53" i="1"/>
  <c r="L53" i="1"/>
  <c r="M53" i="1"/>
  <c r="N53" i="1"/>
  <c r="O53" i="1"/>
  <c r="K52" i="1"/>
  <c r="K49" i="1" s="1"/>
  <c r="L52" i="1"/>
  <c r="L49" i="1" s="1"/>
  <c r="M52" i="1"/>
  <c r="M49" i="1" s="1"/>
  <c r="N52" i="1"/>
  <c r="N49" i="1" s="1"/>
  <c r="O52" i="1"/>
  <c r="O49" i="1" s="1"/>
  <c r="K40" i="1"/>
  <c r="L40" i="1"/>
  <c r="M40" i="1"/>
  <c r="N40" i="1"/>
  <c r="O40" i="1"/>
  <c r="K39" i="1"/>
  <c r="L39" i="1"/>
  <c r="M39" i="1"/>
  <c r="N39" i="1"/>
  <c r="O39" i="1"/>
  <c r="K38" i="1"/>
  <c r="L38" i="1"/>
  <c r="M38" i="1"/>
  <c r="N38" i="1"/>
  <c r="O38" i="1"/>
  <c r="K37" i="1"/>
  <c r="L37" i="1"/>
  <c r="M37" i="1"/>
  <c r="N37" i="1"/>
  <c r="O37" i="1"/>
  <c r="K36" i="1"/>
  <c r="L36" i="1"/>
  <c r="M36" i="1"/>
  <c r="N36" i="1"/>
  <c r="O36" i="1"/>
  <c r="K35" i="1"/>
  <c r="L35" i="1"/>
  <c r="M35" i="1"/>
  <c r="N35" i="1"/>
  <c r="O35" i="1"/>
  <c r="K34" i="1"/>
  <c r="L34" i="1"/>
  <c r="M34" i="1"/>
  <c r="N34" i="1"/>
  <c r="O34" i="1"/>
  <c r="K31" i="1"/>
  <c r="K32" i="1" s="1"/>
  <c r="L31" i="1"/>
  <c r="L32" i="1" s="1"/>
  <c r="M31" i="1"/>
  <c r="M32" i="1" s="1"/>
  <c r="N31" i="1"/>
  <c r="N32" i="1" s="1"/>
  <c r="O31" i="1"/>
  <c r="O32" i="1" s="1"/>
  <c r="B19" i="7"/>
  <c r="B17" i="2"/>
  <c r="K29" i="1"/>
  <c r="L29" i="1"/>
  <c r="M29" i="1"/>
  <c r="N29" i="1"/>
  <c r="O29" i="1"/>
  <c r="K27" i="1"/>
  <c r="K28" i="1" s="1"/>
  <c r="L27" i="1"/>
  <c r="L28" i="1" s="1"/>
  <c r="M27" i="1"/>
  <c r="M28" i="1" s="1"/>
  <c r="N27" i="1"/>
  <c r="N28" i="1" s="1"/>
  <c r="O27" i="1"/>
  <c r="O28" i="1" s="1"/>
  <c r="K24" i="1"/>
  <c r="L24" i="1"/>
  <c r="M24" i="1"/>
  <c r="N24" i="1"/>
  <c r="O24" i="1"/>
  <c r="K22" i="1"/>
  <c r="K23" i="1" s="1"/>
  <c r="L22" i="1"/>
  <c r="L23" i="1" s="1"/>
  <c r="M22" i="1"/>
  <c r="M23" i="1" s="1"/>
  <c r="N22" i="1"/>
  <c r="N23" i="1" s="1"/>
  <c r="O22" i="1"/>
  <c r="O23" i="1" s="1"/>
  <c r="K20" i="1"/>
  <c r="K21" i="1" s="1"/>
  <c r="L20" i="1"/>
  <c r="L21" i="1" s="1"/>
  <c r="M20" i="1"/>
  <c r="M21" i="1" s="1"/>
  <c r="N20" i="1"/>
  <c r="N21" i="1" s="1"/>
  <c r="O20" i="1"/>
  <c r="O21" i="1" s="1"/>
  <c r="P113" i="3"/>
  <c r="K128" i="3"/>
  <c r="M113" i="3"/>
  <c r="H128" i="3"/>
  <c r="D37" i="5"/>
  <c r="F37" i="5" s="1"/>
  <c r="E7" i="4"/>
  <c r="F7" i="4" s="1"/>
  <c r="G7" i="4" s="1"/>
  <c r="E6" i="4"/>
  <c r="F6" i="4" s="1"/>
  <c r="G6" i="4" s="1"/>
  <c r="E5" i="4"/>
  <c r="F5" i="4" s="1"/>
  <c r="G5" i="4" s="1"/>
  <c r="E4" i="4"/>
  <c r="F4" i="4" s="1"/>
  <c r="G4" i="4" s="1"/>
  <c r="E3" i="4"/>
  <c r="F3" i="4" s="1"/>
  <c r="Q135" i="3"/>
  <c r="Q134" i="3"/>
  <c r="Q125" i="3"/>
  <c r="Q123" i="3"/>
  <c r="Q118" i="3"/>
  <c r="Q117" i="3"/>
  <c r="Q41" i="3"/>
  <c r="Q38" i="3"/>
  <c r="Q37" i="3"/>
  <c r="Q32" i="3"/>
  <c r="Q27" i="3"/>
  <c r="H84" i="1"/>
  <c r="Q69" i="3"/>
  <c r="X68" i="3"/>
  <c r="W68" i="3"/>
  <c r="V68" i="3"/>
  <c r="U68" i="3"/>
  <c r="T68" i="3"/>
  <c r="H45" i="1"/>
  <c r="X48" i="3"/>
  <c r="X49" i="3" s="1"/>
  <c r="W48" i="3"/>
  <c r="W49" i="3" s="1"/>
  <c r="V48" i="3"/>
  <c r="V49" i="3" s="1"/>
  <c r="U48" i="3"/>
  <c r="U49" i="3" s="1"/>
  <c r="T48" i="3"/>
  <c r="T49" i="3" s="1"/>
  <c r="Q115" i="3"/>
  <c r="Q110" i="3"/>
  <c r="W109" i="3"/>
  <c r="V109" i="3"/>
  <c r="U109" i="3"/>
  <c r="T109" i="3"/>
  <c r="Q108" i="3"/>
  <c r="Q106" i="3"/>
  <c r="Q105" i="3"/>
  <c r="X103" i="3"/>
  <c r="W103" i="3"/>
  <c r="V103" i="3"/>
  <c r="U103" i="3"/>
  <c r="T103" i="3"/>
  <c r="V102" i="3"/>
  <c r="U102" i="3"/>
  <c r="T102" i="3"/>
  <c r="Q101" i="3"/>
  <c r="Q95" i="3"/>
  <c r="W94" i="3"/>
  <c r="V94" i="3"/>
  <c r="W93" i="3"/>
  <c r="U93" i="3"/>
  <c r="T93" i="3"/>
  <c r="Q124" i="3"/>
  <c r="Q122" i="3"/>
  <c r="Q119" i="3"/>
  <c r="D39" i="5" l="1"/>
  <c r="F39" i="5" s="1"/>
  <c r="B40" i="5"/>
  <c r="J146" i="3"/>
  <c r="O146" i="3" s="1"/>
  <c r="O128" i="3"/>
  <c r="I146" i="3"/>
  <c r="N146" i="3" s="1"/>
  <c r="N128" i="3"/>
  <c r="L128" i="3"/>
  <c r="Q128" i="3" s="1"/>
  <c r="G146" i="3"/>
  <c r="L146" i="3" s="1"/>
  <c r="Q146" i="3" s="1"/>
  <c r="C6" i="6"/>
  <c r="C23" i="2"/>
  <c r="C33" i="7"/>
  <c r="U105" i="3"/>
  <c r="E23" i="2"/>
  <c r="E6" i="6"/>
  <c r="E33" i="7"/>
  <c r="W105" i="3"/>
  <c r="F23" i="2"/>
  <c r="F6" i="6"/>
  <c r="F33" i="7"/>
  <c r="X105" i="3"/>
  <c r="B23" i="2"/>
  <c r="B6" i="6"/>
  <c r="B33" i="7"/>
  <c r="T105" i="3"/>
  <c r="D6" i="6"/>
  <c r="D23" i="2"/>
  <c r="D33" i="7"/>
  <c r="V105" i="3"/>
  <c r="C19" i="7"/>
  <c r="C17" i="2"/>
  <c r="B3" i="6"/>
  <c r="B14" i="6"/>
  <c r="B20" i="7"/>
  <c r="B21" i="7" s="1"/>
  <c r="B18" i="2"/>
  <c r="B19" i="2" s="1"/>
  <c r="C3" i="6"/>
  <c r="C14" i="6"/>
  <c r="C20" i="7"/>
  <c r="C18" i="2"/>
  <c r="D20" i="7"/>
  <c r="D18" i="2"/>
  <c r="E20" i="7"/>
  <c r="E18" i="2"/>
  <c r="F20" i="7"/>
  <c r="F18" i="2"/>
  <c r="K33" i="1"/>
  <c r="K45" i="1"/>
  <c r="K47" i="1" s="1"/>
  <c r="K59" i="1" s="1"/>
  <c r="K70" i="1" s="1"/>
  <c r="L33" i="1"/>
  <c r="L45" i="1"/>
  <c r="L47" i="1" s="1"/>
  <c r="L59" i="1" s="1"/>
  <c r="L70" i="1" s="1"/>
  <c r="M33" i="1"/>
  <c r="M45" i="1"/>
  <c r="M47" i="1" s="1"/>
  <c r="M59" i="1" s="1"/>
  <c r="M70" i="1" s="1"/>
  <c r="N33" i="1"/>
  <c r="N45" i="1"/>
  <c r="N47" i="1" s="1"/>
  <c r="N59" i="1" s="1"/>
  <c r="N70" i="1" s="1"/>
  <c r="O33" i="1"/>
  <c r="O45" i="1"/>
  <c r="O47" i="1" s="1"/>
  <c r="O59" i="1" s="1"/>
  <c r="O70" i="1" s="1"/>
  <c r="P128" i="3"/>
  <c r="K146" i="3"/>
  <c r="P146" i="3" s="1"/>
  <c r="M128" i="3"/>
  <c r="H146" i="3"/>
  <c r="M146" i="3" s="1"/>
  <c r="F8" i="4"/>
  <c r="G3" i="4"/>
  <c r="T125" i="3"/>
  <c r="V125" i="3"/>
  <c r="W125" i="3"/>
  <c r="X125" i="3"/>
  <c r="U125" i="3"/>
  <c r="X123" i="3"/>
  <c r="U123" i="3"/>
  <c r="T123" i="3"/>
  <c r="W123" i="3"/>
  <c r="V123" i="3"/>
  <c r="X118" i="3"/>
  <c r="X115" i="3" s="1"/>
  <c r="V118" i="3"/>
  <c r="V115" i="3" s="1"/>
  <c r="U118" i="3"/>
  <c r="U115" i="3" s="1"/>
  <c r="T118" i="3"/>
  <c r="T115" i="3" s="1"/>
  <c r="W118" i="3"/>
  <c r="W115" i="3" s="1"/>
  <c r="X69" i="3"/>
  <c r="X70" i="3" s="1"/>
  <c r="W69" i="3"/>
  <c r="W70" i="3" s="1"/>
  <c r="V69" i="3"/>
  <c r="V70" i="3" s="1"/>
  <c r="U69" i="3"/>
  <c r="U70" i="3" s="1"/>
  <c r="T69" i="3"/>
  <c r="T70" i="3" s="1"/>
  <c r="X110" i="3"/>
  <c r="V110" i="3"/>
  <c r="U110" i="3"/>
  <c r="T110" i="3"/>
  <c r="W110" i="3"/>
  <c r="W108" i="3"/>
  <c r="X108" i="3"/>
  <c r="V108" i="3"/>
  <c r="U108" i="3"/>
  <c r="T108" i="3"/>
  <c r="X101" i="3"/>
  <c r="X113" i="3" s="1"/>
  <c r="W101" i="3"/>
  <c r="W113" i="3" s="1"/>
  <c r="V101" i="3"/>
  <c r="V113" i="3" s="1"/>
  <c r="U101" i="3"/>
  <c r="U113" i="3" s="1"/>
  <c r="T101" i="3"/>
  <c r="T113" i="3" s="1"/>
  <c r="W95" i="3"/>
  <c r="X95" i="3"/>
  <c r="V95" i="3"/>
  <c r="U95" i="3"/>
  <c r="T95" i="3"/>
  <c r="X124" i="3"/>
  <c r="W124" i="3"/>
  <c r="U124" i="3"/>
  <c r="T124" i="3"/>
  <c r="V124" i="3"/>
  <c r="X122" i="3"/>
  <c r="X121" i="3" s="1"/>
  <c r="X120" i="3" s="1"/>
  <c r="V122" i="3"/>
  <c r="V121" i="3" s="1"/>
  <c r="V120" i="3" s="1"/>
  <c r="T122" i="3"/>
  <c r="T121" i="3" s="1"/>
  <c r="T120" i="3" s="1"/>
  <c r="W122" i="3"/>
  <c r="W121" i="3" s="1"/>
  <c r="W120" i="3" s="1"/>
  <c r="U122" i="3"/>
  <c r="U121" i="3" s="1"/>
  <c r="U120" i="3" s="1"/>
  <c r="U41" i="3"/>
  <c r="H99" i="1"/>
  <c r="H100" i="1"/>
  <c r="D40" i="5" l="1"/>
  <c r="F40" i="5" s="1"/>
  <c r="B41" i="5"/>
  <c r="D41" i="5" s="1"/>
  <c r="F41" i="5" s="1"/>
  <c r="K72" i="1"/>
  <c r="K73" i="1" s="1"/>
  <c r="K79" i="1"/>
  <c r="L72" i="1"/>
  <c r="L73" i="1" s="1"/>
  <c r="L79" i="1"/>
  <c r="M72" i="1"/>
  <c r="M73" i="1" s="1"/>
  <c r="M79" i="1"/>
  <c r="N72" i="1"/>
  <c r="N73" i="1" s="1"/>
  <c r="N79" i="1"/>
  <c r="O72" i="1"/>
  <c r="O73" i="1" s="1"/>
  <c r="O79" i="1"/>
  <c r="G8" i="4"/>
  <c r="F10" i="4"/>
  <c r="G10" i="4" s="1"/>
  <c r="F11" i="4"/>
  <c r="G11" i="4" s="1"/>
  <c r="F12" i="4"/>
  <c r="G12" i="4" s="1"/>
  <c r="F13" i="4"/>
  <c r="G13" i="4" s="1"/>
  <c r="F14" i="4"/>
  <c r="G14" i="4" s="1"/>
  <c r="F7" i="6"/>
  <c r="F18" i="6"/>
  <c r="F25" i="7"/>
  <c r="F24" i="2"/>
  <c r="D18" i="6"/>
  <c r="D25" i="7"/>
  <c r="D24" i="2"/>
  <c r="D7" i="6"/>
  <c r="B18" i="6"/>
  <c r="B25" i="7"/>
  <c r="B24" i="2"/>
  <c r="B7" i="6"/>
  <c r="E18" i="6"/>
  <c r="E25" i="7"/>
  <c r="E24" i="2"/>
  <c r="E7" i="6"/>
  <c r="C18" i="6"/>
  <c r="C25" i="7"/>
  <c r="C24" i="2"/>
  <c r="C7" i="6"/>
  <c r="M30" i="1"/>
  <c r="C22" i="2"/>
  <c r="C23" i="7"/>
  <c r="C16" i="6"/>
  <c r="C5" i="6"/>
  <c r="U42" i="3"/>
  <c r="U97" i="3"/>
  <c r="C21" i="7"/>
  <c r="C19" i="2"/>
  <c r="X126" i="3"/>
  <c r="X128" i="3" s="1"/>
  <c r="V126" i="3"/>
  <c r="V128" i="3" s="1"/>
  <c r="U126" i="3"/>
  <c r="U128" i="3" s="1"/>
  <c r="T126" i="3"/>
  <c r="T128" i="3" s="1"/>
  <c r="W126" i="3"/>
  <c r="W128" i="3" s="1"/>
  <c r="T137" i="3" l="1"/>
  <c r="K89" i="1"/>
  <c r="B2" i="6"/>
  <c r="B13" i="6"/>
  <c r="B10" i="4"/>
  <c r="B18" i="7"/>
  <c r="B16" i="2"/>
  <c r="K101" i="1"/>
  <c r="K87" i="1"/>
  <c r="K99" i="1" s="1"/>
  <c r="K100" i="1" s="1"/>
  <c r="K81" i="1"/>
  <c r="K84" i="1" s="1"/>
  <c r="K85" i="1" s="1"/>
  <c r="L81" i="1"/>
  <c r="L84" i="1" s="1"/>
  <c r="L85" i="1" s="1"/>
  <c r="L87" i="1"/>
  <c r="L99" i="1" s="1"/>
  <c r="L100" i="1" s="1"/>
  <c r="C2" i="6"/>
  <c r="C13" i="6"/>
  <c r="B11" i="4"/>
  <c r="C18" i="7"/>
  <c r="C16" i="2"/>
  <c r="L101" i="1"/>
  <c r="L89" i="1"/>
  <c r="D2" i="6"/>
  <c r="D13" i="6"/>
  <c r="B12" i="4"/>
  <c r="D18" i="7"/>
  <c r="D16" i="2"/>
  <c r="M101" i="1"/>
  <c r="M87" i="1"/>
  <c r="M99" i="1" s="1"/>
  <c r="M100" i="1" s="1"/>
  <c r="M89" i="1"/>
  <c r="M81" i="1"/>
  <c r="M84" i="1" s="1"/>
  <c r="M85" i="1" s="1"/>
  <c r="N81" i="1"/>
  <c r="N84" i="1" s="1"/>
  <c r="N85" i="1" s="1"/>
  <c r="N89" i="1"/>
  <c r="N87" i="1"/>
  <c r="N99" i="1" s="1"/>
  <c r="N100" i="1" s="1"/>
  <c r="E2" i="6"/>
  <c r="E13" i="6"/>
  <c r="B13" i="4"/>
  <c r="E18" i="7"/>
  <c r="E16" i="2"/>
  <c r="N101" i="1"/>
  <c r="O87" i="1"/>
  <c r="O99" i="1" s="1"/>
  <c r="O100" i="1" s="1"/>
  <c r="F2" i="6"/>
  <c r="F13" i="6"/>
  <c r="B14" i="4"/>
  <c r="F18" i="7"/>
  <c r="F16" i="2"/>
  <c r="O101" i="1"/>
  <c r="O81" i="1"/>
  <c r="O84" i="1" s="1"/>
  <c r="O85" i="1" s="1"/>
  <c r="O89" i="1"/>
  <c r="D14" i="6"/>
  <c r="D3" i="6"/>
  <c r="D19" i="7"/>
  <c r="D21" i="7" s="1"/>
  <c r="D17" i="2"/>
  <c r="D19" i="2" s="1"/>
  <c r="V41" i="3"/>
  <c r="C11" i="4" l="1"/>
  <c r="T136" i="3"/>
  <c r="T142" i="3" s="1"/>
  <c r="U137" i="3"/>
  <c r="D10" i="4"/>
  <c r="E10" i="4"/>
  <c r="E11" i="4"/>
  <c r="E12" i="4"/>
  <c r="E13" i="4"/>
  <c r="E14" i="4"/>
  <c r="N30" i="1"/>
  <c r="D22" i="2"/>
  <c r="D23" i="7"/>
  <c r="D16" i="6"/>
  <c r="D5" i="6"/>
  <c r="V42" i="3"/>
  <c r="V97" i="3"/>
  <c r="B20" i="6" l="1"/>
  <c r="B9" i="6"/>
  <c r="B26" i="2"/>
  <c r="B41" i="7" s="1"/>
  <c r="B27" i="7"/>
  <c r="B45" i="7" s="1"/>
  <c r="I3" i="6"/>
  <c r="I5" i="6"/>
  <c r="I8" i="6" s="1"/>
  <c r="I18" i="6" s="1"/>
  <c r="I26" i="6" s="1"/>
  <c r="T131" i="3"/>
  <c r="T130" i="3"/>
  <c r="T144" i="3"/>
  <c r="T146" i="3" s="1"/>
  <c r="T20" i="3" s="1"/>
  <c r="V137" i="3"/>
  <c r="U136" i="3"/>
  <c r="U142" i="3" s="1"/>
  <c r="C12" i="4"/>
  <c r="D12" i="4" s="1"/>
  <c r="E14" i="6"/>
  <c r="E3" i="6"/>
  <c r="E19" i="7"/>
  <c r="E21" i="7" s="1"/>
  <c r="E17" i="2"/>
  <c r="E19" i="2" s="1"/>
  <c r="W41" i="3"/>
  <c r="D11" i="4"/>
  <c r="T21" i="3" l="1"/>
  <c r="T35" i="3"/>
  <c r="W137" i="3"/>
  <c r="V136" i="3"/>
  <c r="V142" i="3" s="1"/>
  <c r="C13" i="4"/>
  <c r="D13" i="4" s="1"/>
  <c r="J5" i="6"/>
  <c r="J8" i="6" s="1"/>
  <c r="J18" i="6" s="1"/>
  <c r="J26" i="6" s="1"/>
  <c r="J3" i="6"/>
  <c r="D9" i="6"/>
  <c r="U131" i="3"/>
  <c r="U130" i="3"/>
  <c r="D26" i="2"/>
  <c r="D41" i="7" s="1"/>
  <c r="D27" i="7"/>
  <c r="D45" i="7" s="1"/>
  <c r="D20" i="6"/>
  <c r="U144" i="3"/>
  <c r="U146" i="3" s="1"/>
  <c r="U20" i="3" s="1"/>
  <c r="O30" i="1"/>
  <c r="E22" i="2"/>
  <c r="E23" i="7"/>
  <c r="E16" i="6"/>
  <c r="E5" i="6"/>
  <c r="W42" i="3"/>
  <c r="X41" i="3"/>
  <c r="W97" i="3"/>
  <c r="C9" i="6"/>
  <c r="C26" i="2"/>
  <c r="C41" i="7" s="1"/>
  <c r="C27" i="7"/>
  <c r="C45" i="7" s="1"/>
  <c r="C20" i="6"/>
  <c r="T99" i="3" l="1"/>
  <c r="B4" i="6"/>
  <c r="B8" i="6" s="1"/>
  <c r="I2" i="6" s="1"/>
  <c r="I9" i="6" s="1"/>
  <c r="B15" i="6"/>
  <c r="B19" i="6" s="1"/>
  <c r="J29" i="6" s="1"/>
  <c r="K29" i="6" s="1"/>
  <c r="B22" i="7"/>
  <c r="B26" i="7" s="1"/>
  <c r="B20" i="2"/>
  <c r="B25" i="2" s="1"/>
  <c r="B21" i="2"/>
  <c r="X137" i="3"/>
  <c r="X136" i="3" s="1"/>
  <c r="X142" i="3" s="1"/>
  <c r="W136" i="3"/>
  <c r="W142" i="3" s="1"/>
  <c r="C14" i="4"/>
  <c r="D14" i="4" s="1"/>
  <c r="K3" i="6"/>
  <c r="K5" i="6"/>
  <c r="K8" i="6" s="1"/>
  <c r="K18" i="6" s="1"/>
  <c r="K26" i="6" s="1"/>
  <c r="V131" i="3"/>
  <c r="V130" i="3"/>
  <c r="V144" i="3"/>
  <c r="V146" i="3" s="1"/>
  <c r="V20" i="3" s="1"/>
  <c r="U21" i="3"/>
  <c r="U35" i="3"/>
  <c r="F14" i="6"/>
  <c r="F3" i="6"/>
  <c r="F19" i="7"/>
  <c r="F21" i="7" s="1"/>
  <c r="F17" i="2"/>
  <c r="F19" i="2" s="1"/>
  <c r="X97" i="3"/>
  <c r="X42" i="3"/>
  <c r="F5" i="6"/>
  <c r="F16" i="6"/>
  <c r="F23" i="7"/>
  <c r="F22" i="2"/>
  <c r="B44" i="7" l="1"/>
  <c r="B46" i="7" s="1"/>
  <c r="B35" i="7"/>
  <c r="B40" i="7"/>
  <c r="B42" i="7" s="1"/>
  <c r="B31" i="7"/>
  <c r="B34" i="7" s="1"/>
  <c r="B36" i="7" s="1"/>
  <c r="M3" i="6"/>
  <c r="M5" i="6"/>
  <c r="M8" i="6" s="1"/>
  <c r="M18" i="6" s="1"/>
  <c r="M26" i="6" s="1"/>
  <c r="X131" i="3"/>
  <c r="X130" i="3"/>
  <c r="X144" i="3"/>
  <c r="X146" i="3" s="1"/>
  <c r="X20" i="3" s="1"/>
  <c r="L5" i="6"/>
  <c r="L8" i="6" s="1"/>
  <c r="L18" i="6" s="1"/>
  <c r="L26" i="6" s="1"/>
  <c r="L3" i="6"/>
  <c r="F9" i="6"/>
  <c r="W131" i="3"/>
  <c r="W130" i="3"/>
  <c r="F26" i="2"/>
  <c r="F41" i="7" s="1"/>
  <c r="F27" i="7"/>
  <c r="F45" i="7" s="1"/>
  <c r="F20" i="6"/>
  <c r="W144" i="3"/>
  <c r="W146" i="3" s="1"/>
  <c r="W20" i="3" s="1"/>
  <c r="V21" i="3"/>
  <c r="V35" i="3"/>
  <c r="C4" i="6"/>
  <c r="C8" i="6" s="1"/>
  <c r="J2" i="6" s="1"/>
  <c r="J9" i="6" s="1"/>
  <c r="C15" i="6"/>
  <c r="C19" i="6" s="1"/>
  <c r="J30" i="6" s="1"/>
  <c r="K30" i="6" s="1"/>
  <c r="C22" i="7"/>
  <c r="C26" i="7" s="1"/>
  <c r="U99" i="3"/>
  <c r="C20" i="2"/>
  <c r="C25" i="2" s="1"/>
  <c r="C21" i="2"/>
  <c r="E26" i="2"/>
  <c r="E41" i="7" s="1"/>
  <c r="E27" i="7"/>
  <c r="E45" i="7" s="1"/>
  <c r="E9" i="6"/>
  <c r="E20" i="6"/>
  <c r="X21" i="3" l="1"/>
  <c r="X35" i="3"/>
  <c r="W21" i="3"/>
  <c r="W35" i="3"/>
  <c r="D4" i="6"/>
  <c r="D8" i="6" s="1"/>
  <c r="K2" i="6" s="1"/>
  <c r="K9" i="6" s="1"/>
  <c r="D15" i="6"/>
  <c r="D19" i="6" s="1"/>
  <c r="J31" i="6" s="1"/>
  <c r="K31" i="6" s="1"/>
  <c r="D22" i="7"/>
  <c r="D26" i="7" s="1"/>
  <c r="V99" i="3"/>
  <c r="D20" i="2"/>
  <c r="D25" i="2" s="1"/>
  <c r="D21" i="2"/>
  <c r="C44" i="7"/>
  <c r="C46" i="7" s="1"/>
  <c r="C35" i="7"/>
  <c r="C40" i="7"/>
  <c r="C42" i="7" s="1"/>
  <c r="C31" i="7"/>
  <c r="C34" i="7" s="1"/>
  <c r="C36" i="7" s="1"/>
  <c r="F4" i="6" l="1"/>
  <c r="F8" i="6" s="1"/>
  <c r="M2" i="6" s="1"/>
  <c r="F15" i="6"/>
  <c r="F19" i="6" s="1"/>
  <c r="J33" i="6" s="1"/>
  <c r="F22" i="7"/>
  <c r="F26" i="7" s="1"/>
  <c r="X99" i="3"/>
  <c r="F20" i="2"/>
  <c r="F25" i="2" s="1"/>
  <c r="F21" i="2"/>
  <c r="W99" i="3"/>
  <c r="E4" i="6"/>
  <c r="E8" i="6" s="1"/>
  <c r="L2" i="6" s="1"/>
  <c r="L9" i="6" s="1"/>
  <c r="E15" i="6"/>
  <c r="E19" i="6" s="1"/>
  <c r="J32" i="6" s="1"/>
  <c r="K32" i="6" s="1"/>
  <c r="E22" i="7"/>
  <c r="E26" i="7" s="1"/>
  <c r="E20" i="2"/>
  <c r="E25" i="2" s="1"/>
  <c r="E21" i="2"/>
  <c r="D35" i="7"/>
  <c r="D44" i="7"/>
  <c r="D46" i="7" s="1"/>
  <c r="D31" i="7"/>
  <c r="D34" i="7" s="1"/>
  <c r="D36" i="7" s="1"/>
  <c r="D40" i="7"/>
  <c r="D42" i="7" s="1"/>
  <c r="M9" i="6" l="1"/>
  <c r="N11" i="6"/>
  <c r="N12" i="6" s="1"/>
  <c r="N13" i="6" s="1"/>
  <c r="N15" i="6" s="1"/>
  <c r="N17" i="6" s="1"/>
  <c r="K33" i="6"/>
  <c r="K36" i="6" s="1"/>
  <c r="K38" i="6" s="1"/>
  <c r="K40" i="6" s="1"/>
  <c r="K42" i="6" s="1"/>
  <c r="K34" i="6"/>
  <c r="K35" i="6" s="1"/>
  <c r="F35" i="7"/>
  <c r="F44" i="7"/>
  <c r="F46" i="7" s="1"/>
  <c r="F31" i="7"/>
  <c r="F34" i="7" s="1"/>
  <c r="F36" i="7" s="1"/>
  <c r="F40" i="7"/>
  <c r="F42" i="7" s="1"/>
  <c r="E35" i="7"/>
  <c r="E44" i="7"/>
  <c r="E46" i="7" s="1"/>
  <c r="E31" i="7"/>
  <c r="E34" i="7" s="1"/>
  <c r="E36" i="7" s="1"/>
  <c r="E40" i="7"/>
  <c r="E42" i="7" s="1"/>
</calcChain>
</file>

<file path=xl/sharedStrings.xml><?xml version="1.0" encoding="utf-8"?>
<sst xmlns="http://schemas.openxmlformats.org/spreadsheetml/2006/main" count="1034" uniqueCount="753">
  <si>
    <t>Company Fundamentals - Income Statement</t>
  </si>
  <si>
    <t>Company Name</t>
  </si>
  <si>
    <t>Wesfarmers Ltd (WES.AX)</t>
  </si>
  <si>
    <t>Country of Exchange</t>
  </si>
  <si>
    <t>Australia</t>
  </si>
  <si>
    <t>Country of Headquarters</t>
  </si>
  <si>
    <t>TRBC Industry Group</t>
  </si>
  <si>
    <t>Diversified Retail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</si>
  <si>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</si>
  <si>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</si>
  <si>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</si>
  <si>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</si>
  <si>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</si>
  <si>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</si>
  <si>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</si>
  <si>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</si>
  <si>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</si>
  <si>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</si>
  <si>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</si>
  <si>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</si>
  <si>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</si>
  <si>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</si>
  <si>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</si>
  <si>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</si>
  <si>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Statement Date</t>
  </si>
  <si>
    <t>Standardized Currency</t>
  </si>
  <si>
    <t>AUD</t>
  </si>
  <si>
    <t>Template Type</t>
  </si>
  <si>
    <t>Industrial - Operating</t>
  </si>
  <si>
    <t>Income Statement - Standardized (Currency: Standardized)</t>
  </si>
  <si>
    <t>Field Name</t>
  </si>
  <si>
    <t>30-06-2025</t>
  </si>
  <si>
    <t>30-06-2024</t>
  </si>
  <si>
    <t>30-06-2023</t>
  </si>
  <si>
    <t>30-06-2022</t>
  </si>
  <si>
    <t>30-06-2021</t>
  </si>
  <si>
    <t>% Rev 2025</t>
  </si>
  <si>
    <t>Avg % Rev</t>
  </si>
  <si>
    <t>Formula Description</t>
  </si>
  <si>
    <t>Excel Formula</t>
  </si>
  <si>
    <t>F2026</t>
  </si>
  <si>
    <t>F2027</t>
  </si>
  <si>
    <t>F2028</t>
  </si>
  <si>
    <t>F2029</t>
  </si>
  <si>
    <t>F2030</t>
  </si>
  <si>
    <t>% Rev 2024</t>
  </si>
  <si>
    <t>% Rev 2023</t>
  </si>
  <si>
    <t>% Rev 2022</t>
  </si>
  <si>
    <t>% Rev 2021</t>
  </si>
  <si>
    <t>Revenues</t>
  </si>
  <si>
    <t>Revenue from Goods &amp; Services</t>
  </si>
  <si>
    <t>Avg % of total revenue</t>
  </si>
  <si>
    <t>H20*K25</t>
  </si>
  <si>
    <t>Sales of Goods &amp; Services - Net - Unclassified</t>
  </si>
  <si>
    <t>row 20 (same item, different classification)</t>
  </si>
  <si>
    <t>K20</t>
  </si>
  <si>
    <t>Revenue from Financing-Related Operations</t>
  </si>
  <si>
    <t>H22*K25</t>
  </si>
  <si>
    <t>Business-Related Financing Revenue - Other</t>
  </si>
  <si>
    <t>row 22 (same item, different classification)</t>
  </si>
  <si>
    <t>K22</t>
  </si>
  <si>
    <t>Revenue from Business-Related Activities - Other - Total</t>
  </si>
  <si>
    <t>H24*K25</t>
  </si>
  <si>
    <t>Revenue from Business Activities - Total</t>
  </si>
  <si>
    <t>Regression on Year (OLS, see Analysis sheet)</t>
  </si>
  <si>
    <t>alpha + slope*year  [R²=0.9007]</t>
  </si>
  <si>
    <t>Operating Expenses</t>
  </si>
  <si>
    <t>Cost of Operating Revenue</t>
  </si>
  <si>
    <t>H27*K25</t>
  </si>
  <si>
    <t>Cost of Revenues - Total</t>
  </si>
  <si>
    <t>row 27 (same item, different classification)</t>
  </si>
  <si>
    <t>K27</t>
  </si>
  <si>
    <t>Amortization in Cost of Revenues</t>
  </si>
  <si>
    <t>H29*K25</t>
  </si>
  <si>
    <t>Depreciation in Cost of Revenues</t>
  </si>
  <si>
    <t>Avg dep rate × PPE_net_{t-1} (from BS)</t>
  </si>
  <si>
    <t>0.1453×PPE_net_{t-1} (Balance Sheet row 41)</t>
  </si>
  <si>
    <t>Material Expenses</t>
  </si>
  <si>
    <t>H31*K25</t>
  </si>
  <si>
    <t>Material Expenses - Materials, Inventory, Own Work &amp; Utility - Unclassified</t>
  </si>
  <si>
    <t>row 31 (same item, different classification)</t>
  </si>
  <si>
    <t>K31</t>
  </si>
  <si>
    <t>Gross Profit - Industrials/Property - Total</t>
  </si>
  <si>
    <t>Revenue Total – Cost of Revenues</t>
  </si>
  <si>
    <t>K25-K28</t>
  </si>
  <si>
    <t>Selling, General &amp; Administrative Expenses - Total</t>
  </si>
  <si>
    <t>H34*K25</t>
  </si>
  <si>
    <t>Selling, General &amp; Administrative Expenses - Unclassified</t>
  </si>
  <si>
    <t>H35*K25</t>
  </si>
  <si>
    <t>Labor &amp; Related Expenses including Stock-Based Compensation in Selling, General &amp; Administrative Expenses</t>
  </si>
  <si>
    <t>H36*K25</t>
  </si>
  <si>
    <t>Operations &amp; Maintenance (Utility)</t>
  </si>
  <si>
    <t>H37*K25</t>
  </si>
  <si>
    <t>Selling, General &amp; Administrative Expenses - Other - Total</t>
  </si>
  <si>
    <t>H38*K25</t>
  </si>
  <si>
    <t>Rental Expense</t>
  </si>
  <si>
    <t>H39*K25</t>
  </si>
  <si>
    <t>Occupancy Expense - Other</t>
  </si>
  <si>
    <t>H40*K25</t>
  </si>
  <si>
    <t>Provision for Doubtful Accounts &amp; Write-off</t>
  </si>
  <si>
    <t>H41*K25</t>
  </si>
  <si>
    <t>Other Operating Expense/(Income) - Net</t>
  </si>
  <si>
    <t>H42*K25</t>
  </si>
  <si>
    <t>Other Operating Income - Total</t>
  </si>
  <si>
    <t>H43*K25</t>
  </si>
  <si>
    <t>Other Operating Expense</t>
  </si>
  <si>
    <t>H44*K25</t>
  </si>
  <si>
    <t>Operating Expenses - Total</t>
  </si>
  <si>
    <t>Sum: Cost of Rev + SGA + Other Op Exp/(Inc)</t>
  </si>
  <si>
    <t>K28+K34+K42</t>
  </si>
  <si>
    <t>Operating Profit</t>
  </si>
  <si>
    <t>Operating Profit before Non-Recurring Income/Expense</t>
  </si>
  <si>
    <t>Revenue Total – Operating Expenses</t>
  </si>
  <si>
    <t>K25-K45</t>
  </si>
  <si>
    <t>Non-Operating Expenses</t>
  </si>
  <si>
    <t>Financing Income/(Expense) - Net - Total</t>
  </si>
  <si>
    <t>Interest Expense Net + Non-Interest Financial</t>
  </si>
  <si>
    <t>-(K50)+K52</t>
  </si>
  <si>
    <t>Interest Expense - Net of (Interest Income)</t>
  </si>
  <si>
    <t>Avg int rate × LT debt excl leases_{t-1} (from BS)</t>
  </si>
  <si>
    <t>0.098075×LT_debt_excl_leases_{t-1} (Balance Sheet row 116)</t>
  </si>
  <si>
    <t>Interest Expense - Net of Capitalized Interest</t>
  </si>
  <si>
    <t>row 50 (same item, different classification)</t>
  </si>
  <si>
    <t>K50</t>
  </si>
  <si>
    <t>Non-Interest Financial Income/(Expense) - Total</t>
  </si>
  <si>
    <t>H52*K25</t>
  </si>
  <si>
    <t>Amortization of Deferred Financing Charges</t>
  </si>
  <si>
    <t>H53*K25</t>
  </si>
  <si>
    <t>Non-Interest Financial Income/(Expense) - Other - Net</t>
  </si>
  <si>
    <t>H54*K25</t>
  </si>
  <si>
    <t>Sale of Tangible &amp; Intangible Fixed Assets - Gain/(Loss)</t>
  </si>
  <si>
    <t>H55*K25</t>
  </si>
  <si>
    <t>Equity Earnings/(Loss) - before Taxes including Non-Recurring</t>
  </si>
  <si>
    <t>H56*K25</t>
  </si>
  <si>
    <t>Other Non-Operating Income/(Expense) - Total</t>
  </si>
  <si>
    <t>Zero balance in FY2025 – not forecast</t>
  </si>
  <si>
    <t>n/a – not forecast</t>
  </si>
  <si>
    <t>Non-Recurring Adjustments - Non-Operating- Decrease/(Increase)</t>
  </si>
  <si>
    <t>Normalized Pre-tax Profit</t>
  </si>
  <si>
    <t>Operating Profit + Financing + Sale + Equity</t>
  </si>
  <si>
    <t>K47+K49+K55+K56</t>
  </si>
  <si>
    <t>Non-Recurring Income/Expense</t>
  </si>
  <si>
    <t>Non-Recurring Income/(Expense) - Total</t>
  </si>
  <si>
    <t>H61*K25</t>
  </si>
  <si>
    <t>Impairment - Tangible &amp; Intangible Fixed Assets</t>
  </si>
  <si>
    <t>H62*K25</t>
  </si>
  <si>
    <t>Impairment - Fixed Assets</t>
  </si>
  <si>
    <t>H63*K25</t>
  </si>
  <si>
    <t>Impairment - Goodwill</t>
  </si>
  <si>
    <t>H64*K25</t>
  </si>
  <si>
    <t>Impairment - Intangibles excluding Goodwill</t>
  </si>
  <si>
    <t>Impairment - Financial Investments</t>
  </si>
  <si>
    <t>H66*K25</t>
  </si>
  <si>
    <t>Restructuring Charges</t>
  </si>
  <si>
    <t>Sale &amp; Acquisition of Group Companies - Gain/(Loss)</t>
  </si>
  <si>
    <t>H68*K25</t>
  </si>
  <si>
    <t>Pre-Tax Income</t>
  </si>
  <si>
    <t>Income before Taxes</t>
  </si>
  <si>
    <t>Normalised PBT + Non-Recurring</t>
  </si>
  <si>
    <t>K59+K61</t>
  </si>
  <si>
    <t>Taxes</t>
  </si>
  <si>
    <t>Income Taxes</t>
  </si>
  <si>
    <t>Avg effective tax rate × Income before Taxes</t>
  </si>
  <si>
    <t>0.28974×Income_before_Taxes (row 70)</t>
  </si>
  <si>
    <t>Income Taxes for the Year - Current</t>
  </si>
  <si>
    <t>row 72 (same item, different classification)</t>
  </si>
  <si>
    <t>K72</t>
  </si>
  <si>
    <t>Income Taxes - Domestic - Current</t>
  </si>
  <si>
    <t>H74*K25</t>
  </si>
  <si>
    <t>Income Taxes - Other (KFAS/NLST) - Current</t>
  </si>
  <si>
    <t>H75*K25</t>
  </si>
  <si>
    <t>Income Taxes - Deferred</t>
  </si>
  <si>
    <t>H76*K25</t>
  </si>
  <si>
    <t>Income Taxes - Other - Deferred</t>
  </si>
  <si>
    <t>row 76 (same item, different classification)</t>
  </si>
  <si>
    <t>K76</t>
  </si>
  <si>
    <t>Net Income After Tax</t>
  </si>
  <si>
    <t>Net Income after Tax</t>
  </si>
  <si>
    <t>Income before Taxes – Income Taxes</t>
  </si>
  <si>
    <t>K70-K72</t>
  </si>
  <si>
    <t>After Tax Income/Expense</t>
  </si>
  <si>
    <t>Income before Discontinued Operations &amp; Extraordinary Items</t>
  </si>
  <si>
    <t>row 79 (same item, different classification)</t>
  </si>
  <si>
    <t>K79</t>
  </si>
  <si>
    <t>Extraordinary Activities - after Tax - Gain/(Loss)</t>
  </si>
  <si>
    <t>Discontinued Operations - Net of Taxes - Total - Income/(Expense)</t>
  </si>
  <si>
    <t>Net Income before Minority Interest</t>
  </si>
  <si>
    <t>Income before Disc Ops + Extraordinary + Disc Ops</t>
  </si>
  <si>
    <t>K81+K82+K83</t>
  </si>
  <si>
    <t>Net Income after Minority Interest</t>
  </si>
  <si>
    <t>row 84 (same item, different classification)</t>
  </si>
  <si>
    <t>K84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</si>
  <si>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</si>
  <si>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</si>
  <si>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</si>
  <si>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</si>
  <si>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</si>
  <si>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H90*K25</t>
  </si>
  <si>
    <t>Other Comprehensive Income - Unrealized Investment Gain/(Loss)</t>
  </si>
  <si>
    <t>Other Comprehensive Income - Hedging Gain/(Loss)</t>
  </si>
  <si>
    <t>H92*K25</t>
  </si>
  <si>
    <t>Other Comprehensive Income - Other</t>
  </si>
  <si>
    <t>Other Comprehensive Income - Discontinued Operations</t>
  </si>
  <si>
    <t>Other Comprehensive Income - Associated Companies</t>
  </si>
  <si>
    <t>Zero balance in FY2025 – not forecast (zero in 2025)</t>
  </si>
  <si>
    <t>Other Comprehensive Income - Pension Related</t>
  </si>
  <si>
    <t>Other Comprehensive Income - Income Tax</t>
  </si>
  <si>
    <t>H97*K25</t>
  </si>
  <si>
    <t>Other Comprehensive Income - Net of Tax - Total</t>
  </si>
  <si>
    <t>Sum OCI components (rows 90-97)</t>
  </si>
  <si>
    <t>SUM(K90:K97)</t>
  </si>
  <si>
    <t>Comprehensive Income before Minority Interest - Total</t>
  </si>
  <si>
    <t>Net Income + OCI Net of Tax</t>
  </si>
  <si>
    <t>K87+K98</t>
  </si>
  <si>
    <t>Comprehensive Income - Attributable to Parent Company Equity Holders - Total</t>
  </si>
  <si>
    <t>row 99 (same item, different classification)</t>
  </si>
  <si>
    <t>K99</t>
  </si>
  <si>
    <t>Dividends</t>
  </si>
  <si>
    <t>Avg payout ratio × Net Income (row 79); capped 0-100%</t>
  </si>
  <si>
    <t>0.8816×Net_Income_row79</t>
  </si>
  <si>
    <t>Free Cash Flow to Equity (FCFE) — Wesfarmers Ltd (WES.AX)</t>
  </si>
  <si>
    <t>AUD $m | FY2026–FY2030 | All components formula-linked to pro-forma IS and BS</t>
  </si>
  <si>
    <t>SECTION 1 — FORMULA DEFINITION</t>
  </si>
  <si>
    <t>FCFE  =  E  +  NCC  −  ΔWCAP  −  FCInv  +  Net Borrowing  +  Δ Other NCL</t>
  </si>
  <si>
    <t>E  =  Net Income  |  IS row 79</t>
  </si>
  <si>
    <t>NCC  =  Depreciation (IS r30)  +  Amortisation (IS r29)  — non-cash charges</t>
  </si>
  <si>
    <t>ΔWCAP  =  Change in Net Working Capital: (TCA−Cash) − (TCL−STDebt)  |  BS rows 35,20,113,104</t>
  </si>
  <si>
    <t>FCInv  =  Net Capex  =  PPE_t − PPE_{t−1} + Dep_t  |  BS row 41 + IS row 30</t>
  </si>
  <si>
    <t>Net Borrowing  =  Δ(LT Debt excl. leases  +  ST Debt)  |  BS rows 116, 104</t>
  </si>
  <si>
    <t>Δ Other NCL  =  Change in other non-current liabilities  |  BS row 120</t>
  </si>
  <si>
    <t>SECTION 2 — FCFE CALCULATION (FY2026–FY2030)</t>
  </si>
  <si>
    <t>Component</t>
  </si>
  <si>
    <t>2026</t>
  </si>
  <si>
    <t>2027</t>
  </si>
  <si>
    <t>2028</t>
  </si>
  <si>
    <t>2029</t>
  </si>
  <si>
    <t>2030</t>
  </si>
  <si>
    <t>Formula / Source Reference</t>
  </si>
  <si>
    <t>E — Net Income</t>
  </si>
  <si>
    <t>IS row 79: Net Income after Tax</t>
  </si>
  <si>
    <t>NCC — Depreciation</t>
  </si>
  <si>
    <t>IS row 30: Depreciation in Cost of Revenues</t>
  </si>
  <si>
    <t>NCC — Amortisation</t>
  </si>
  <si>
    <t>IS row 29: Amortisation in Cost of Revenues</t>
  </si>
  <si>
    <t>NCC Total (Dep + Amort)</t>
  </si>
  <si>
    <t>Sum of IS rows 30 and 29</t>
  </si>
  <si>
    <t>Less:  ΔWCAP — Change in Net Working Capital</t>
  </si>
  <si>
    <t>(TCA−Cash−TCL+STD)_t − prior year  |  BS rows 35,20,113,104</t>
  </si>
  <si>
    <t xml:space="preserve">    NWC_t (supporting)</t>
  </si>
  <si>
    <t>Net Working Capital each year (excl. cash and ST debt)</t>
  </si>
  <si>
    <t>Less:  FCInv — Net Capital Expenditure</t>
  </si>
  <si>
    <t>PPE_t (BS r41) − PPE_{t-1} + Dep_t (IS r30)  =  Gross Capex</t>
  </si>
  <si>
    <t>Add:  Net Borrowing — Δ(LT Debt + ST Debt)</t>
  </si>
  <si>
    <t>(LTD+STD)_t − (LTD+STD)_{t-1}  |  BS rows 116, 104</t>
  </si>
  <si>
    <t>Add:  Δ Other Non-Current Liabilities</t>
  </si>
  <si>
    <t>BS row 120: Other NCL Total vs prior year</t>
  </si>
  <si>
    <t>FCFE  =  E + NCC − ΔWCAP − FCInv + Net Borrowing + Δ Other NCL</t>
  </si>
  <si>
    <t>e + ncc − ΔWCAP − FCInv + Net Borrowing + Δ Other NCL</t>
  </si>
  <si>
    <t>Duality of FCFE  =  Equity_{t-1} + Net Income − Equity_t</t>
  </si>
  <si>
    <t>BS Equity_{t-1} (r142) + NI (IS r79) − BS Equity_t  |  Model consistency check</t>
  </si>
  <si>
    <t>SECTION 3 — NOTES</t>
  </si>
  <si>
    <t>1. All components are formula-linked to the pro-forma IS and BS — no values are hardcoded.</t>
  </si>
  <si>
    <t>2. ΔWCAP excludes Cash (plug, BS row 20) and ST Debt (financing item, row 104) to isolate operating working capital.</t>
  </si>
  <si>
    <t>3. FCInv = PPE_t − PPE_{t-1} + Dep_t. This equals gross capital expenditure (new investment before depreciation offset).</t>
  </si>
  <si>
    <t>4. Net Borrowing uses interest-bearing debt only (LT excl. cap. leases r116 + ST debt r104). Cap. lease obligations excluded (non-cash AASB 16 entries).</t>
  </si>
  <si>
    <t>5. Duality check: Equity_{t-1} + NI − Equity_t. Small residuals reflect OCI reserve movements (non-cash items bypassing P&amp;L). This verifies RE accumulation is correct.</t>
  </si>
  <si>
    <t>6. FCFE is positive in all forecast years, consistent with Wesfarmers strong earnings generation relative to reinvestment needs.</t>
  </si>
  <si>
    <t>Company Fundamentals - Balance Sheet</t>
  </si>
  <si>
    <t>Industrial - Differentiated</t>
  </si>
  <si>
    <t>Balance Sheet - Standardized (Currency: Standardized)</t>
  </si>
  <si>
    <t>ADJ 30-06-2025</t>
  </si>
  <si>
    <t>ADJ 30-06-2024</t>
  </si>
  <si>
    <t>ADJ 30-06-2023</t>
  </si>
  <si>
    <t>ADJ 30-06-2022</t>
  </si>
  <si>
    <t>ADJ 30-06-2021</t>
  </si>
  <si>
    <t>% Rev 2025adj</t>
  </si>
  <si>
    <t>% Rev 2024adj</t>
  </si>
  <si>
    <t>% Rev 2023adj</t>
  </si>
  <si>
    <t>% Rev 2022adj</t>
  </si>
  <si>
    <t>% Rev 2021adj</t>
  </si>
  <si>
    <t>Current Assets</t>
  </si>
  <si>
    <t>Cash &amp; Short-Term Investments</t>
  </si>
  <si>
    <t>PLUG: Total L&amp;E – Total NCA – Non-cash CA</t>
  </si>
  <si>
    <t>Total L&amp;E - Total NCA - (Deriv+Rec+Inv+OtherCA)</t>
  </si>
  <si>
    <t>Cash &amp; Cash Equivalents</t>
  </si>
  <si>
    <t>T20 (Cash Equivalents = Cash)</t>
  </si>
  <si>
    <t>Derivative Financial Instruments - Hedging - Short-Term</t>
  </si>
  <si>
    <t>Avg % of adjusted revenue</t>
  </si>
  <si>
    <t>ROUND(Q22*IS_rev,0)</t>
  </si>
  <si>
    <t>Loans &amp; Receivables - Net - Short-Term</t>
  </si>
  <si>
    <t>ROUND(Q23*IS_rev,0)</t>
  </si>
  <si>
    <t>Trade Accounts &amp; Trade Notes Receivable - Net</t>
  </si>
  <si>
    <t>ROUND(Q24*IS_rev,0)</t>
  </si>
  <si>
    <t>Trade Accounts &amp; Trade Notes Receivable - Gross</t>
  </si>
  <si>
    <t>ROUND(Q25*IS_rev,0)</t>
  </si>
  <si>
    <t>Provision - Trade Accounts &amp; Trade Notes Receivable</t>
  </si>
  <si>
    <t>ROUND(Q26*IS_rev,0)</t>
  </si>
  <si>
    <t>Income Tax - Receivables - Short-Term</t>
  </si>
  <si>
    <t>Zero/nil in FY2025 – not forecast</t>
  </si>
  <si>
    <t>Receivables - Other - Total</t>
  </si>
  <si>
    <t>ROUND(Q28*IS_rev,0)</t>
  </si>
  <si>
    <t>Inventories - Total</t>
  </si>
  <si>
    <t>ROUND(Q29*IS_rev,0)</t>
  </si>
  <si>
    <t>Inventories - Raw Materials</t>
  </si>
  <si>
    <t>ROUND(Q30*IS_rev,0)</t>
  </si>
  <si>
    <t>Inventories - Finished Goods</t>
  </si>
  <si>
    <t>ROUND(Q31*IS_rev,0)</t>
  </si>
  <si>
    <t>Inventories - Other - Total</t>
  </si>
  <si>
    <t>Other Current Assets - Total</t>
  </si>
  <si>
    <t>ROUND(Q33*IS_rev,0)</t>
  </si>
  <si>
    <t>Other Current Assets</t>
  </si>
  <si>
    <t>T33 (sub-item = total)</t>
  </si>
  <si>
    <t>Total Current Assets</t>
  </si>
  <si>
    <t>SUM: Cash + Deriv.Hedging + Loans&amp;Rec + Inventories + OtherCA</t>
  </si>
  <si>
    <t>T20+T22+T23+T29+T33</t>
  </si>
  <si>
    <t>Non-Current Assets</t>
  </si>
  <si>
    <t>Investments - Long-Term</t>
  </si>
  <si>
    <t>Investments - Available for Sale/Held to Maturity - Long-Term</t>
  </si>
  <si>
    <t>T37 (sub-item)</t>
  </si>
  <si>
    <t>Investments in Associates, Joint Ventures and Unconsolidated Subsidiaries</t>
  </si>
  <si>
    <t>ROUND(Q39*IS_rev,0)</t>
  </si>
  <si>
    <t>Derivative Financial Instruments - Hedging - Long-Term</t>
  </si>
  <si>
    <t>ROUND(Q40*IS_rev,0)</t>
  </si>
  <si>
    <t>Property, Plant &amp; Equipment - Net - Total</t>
  </si>
  <si>
    <t>Prior PPE + Capex (4.12% of rev) – Depreciation (IS row 30)</t>
  </si>
  <si>
    <t>prior_PPE + 0.0412×IS_rev – IS_Dep_row30</t>
  </si>
  <si>
    <t>Property, Plant &amp; Equipment - excluding Assets Leased Out - Net - Total</t>
  </si>
  <si>
    <t>T41 (PPE excl leased = PPE Net Total)</t>
  </si>
  <si>
    <t>Land &amp; Buildings - Net</t>
  </si>
  <si>
    <t>ROUND(Q43*IS_rev,0)</t>
  </si>
  <si>
    <t>Land/Improvements - Net</t>
  </si>
  <si>
    <t>ROUND(Q44*IS_rev,0)</t>
  </si>
  <si>
    <t>Buildings - Net</t>
  </si>
  <si>
    <t>ROUND(Q45*IS_rev,0)</t>
  </si>
  <si>
    <t>Leasehold Improvements - Net</t>
  </si>
  <si>
    <t>ROUND(Q46*IS_rev,0)</t>
  </si>
  <si>
    <t>Plant, Machinery &amp; Equipment - Net</t>
  </si>
  <si>
    <t>ROUND(Q47*IS_rev,0)</t>
  </si>
  <si>
    <t>Right of Use Tangible Assets - Total - Net</t>
  </si>
  <si>
    <t>ROUND(Q48*IS_rev,0)</t>
  </si>
  <si>
    <t>Right of Use Tangible Assets - Capital/Finance Lease - Net</t>
  </si>
  <si>
    <t>T48 (Finance lease = ROU total)</t>
  </si>
  <si>
    <t>Property, Plant &amp; Equipment - Other - Net</t>
  </si>
  <si>
    <t>ROUND(Q50*IS_rev,0)</t>
  </si>
  <si>
    <t>Mining/Exploration Specific Assets - Net</t>
  </si>
  <si>
    <t>T50 (Mining assets = PPE Other)</t>
  </si>
  <si>
    <t>Property, Plant &amp; Equipment - Gross - Total</t>
  </si>
  <si>
    <t>ROUND(Q52*IS_rev,0)</t>
  </si>
  <si>
    <t>Property, Plant &amp; Equipment - excluding Assets Leased Out - Gross</t>
  </si>
  <si>
    <t>T52 (PPE Gross excl leased = PPE Gross)</t>
  </si>
  <si>
    <t>Land &amp; Buildings - Gross</t>
  </si>
  <si>
    <t>ROUND(Q54*IS_rev,0)</t>
  </si>
  <si>
    <t>Land/Improvements - Gross</t>
  </si>
  <si>
    <t>ROUND(Q55*IS_rev,0)</t>
  </si>
  <si>
    <t>Buildings - Gross</t>
  </si>
  <si>
    <t>ROUND(Q56*IS_rev,0)</t>
  </si>
  <si>
    <t>Leasehold Improvements - Gross</t>
  </si>
  <si>
    <t>ROUND(Q57*IS_rev,0)</t>
  </si>
  <si>
    <t>Plant, Machinery &amp; Equipment - Gross</t>
  </si>
  <si>
    <t>ROUND(Q58*IS_rev,0)</t>
  </si>
  <si>
    <t>Right of Use Tangible Assets - Total - Gross</t>
  </si>
  <si>
    <t>ROUND(Q59*IS_rev,0)</t>
  </si>
  <si>
    <t>Right of Use Tangible Assets - Capital/Finance Lease - Gross</t>
  </si>
  <si>
    <t>T59 (Finance lease gross = ROU gross)</t>
  </si>
  <si>
    <t>Property, Plant &amp; Equipment - Other - Gross</t>
  </si>
  <si>
    <t>ROUND(Q61*IS_rev,0)</t>
  </si>
  <si>
    <t>Mining/Exploration Specific Assets - Gross</t>
  </si>
  <si>
    <t>T61 (Mining gross = PPE Other gross)</t>
  </si>
  <si>
    <t>Property, Plant &amp; Equipment - Accumulated Depreciation &amp; Impairment - Total</t>
  </si>
  <si>
    <t>ROUND(Q63*IS_rev,0)</t>
  </si>
  <si>
    <t>Property, Plant &amp; Equipment - excluding Assets Leased Out - Accumulated Depreciation &amp; Impairment - Total</t>
  </si>
  <si>
    <t>T63 (excl leased accum dep = total accum dep)</t>
  </si>
  <si>
    <t>Land &amp; Buildings - Accumulated Depreciation &amp; Impairment</t>
  </si>
  <si>
    <t>ROUND(Q65*IS_rev,0)</t>
  </si>
  <si>
    <t>Buildings - Accumulated Depreciation &amp; Impairment</t>
  </si>
  <si>
    <t>ROUND(Q66*IS_rev,0)</t>
  </si>
  <si>
    <t>Leasehold Improvements - Accumulated Depreciation &amp; Impairment</t>
  </si>
  <si>
    <t>ROUND(Q67*IS_rev,0)</t>
  </si>
  <si>
    <t>Plant, Machinery &amp; Equipment - Accumulated Depreciation &amp; Impairment</t>
  </si>
  <si>
    <t>ROUND(Q68*IS_rev,0)</t>
  </si>
  <si>
    <t>Right of Use Tangible Assets - Total/Unspecified - Accumulated Depreciation</t>
  </si>
  <si>
    <t>ROUND(Q69*IS_rev,0)</t>
  </si>
  <si>
    <t>Right of Use Tangible Assets - Capital/Finance Lease - Accumulated Depreciation</t>
  </si>
  <si>
    <t>T69 (finance lease accum dep = ROU accum dep)</t>
  </si>
  <si>
    <t>Property, Plant &amp; Equipment - Other - Accumulated Depreciation &amp; Impairment</t>
  </si>
  <si>
    <t>ROUND(Q71*IS_rev,0)</t>
  </si>
  <si>
    <t>Mining/Exploration Specific Assets - Accumulated Depreciation &amp; Impairment</t>
  </si>
  <si>
    <t>T71 (mining accum dep = PPE Other accum dep)</t>
  </si>
  <si>
    <t>Other Non-Current Assets - Total</t>
  </si>
  <si>
    <t>SUM: DTA(0) + LT Inv + Other NCA</t>
  </si>
  <si>
    <t>T74+T75+T76</t>
  </si>
  <si>
    <t>Deferred Tax - Asset - Long-Term</t>
  </si>
  <si>
    <t>Adjusted to $0 (goodwill/DTA removed)</t>
  </si>
  <si>
    <t>0 (adjusted)</t>
  </si>
  <si>
    <t>Inventories - Long-Term</t>
  </si>
  <si>
    <t>ROUND(Q75*IS_rev,0)</t>
  </si>
  <si>
    <t>Other Non-Current Assets</t>
  </si>
  <si>
    <t>ROUND(Q76*IS_rev,0)</t>
  </si>
  <si>
    <t>Intangible Assets - Total - Net</t>
  </si>
  <si>
    <t>SUM: Goodwill(0) + Intangibles excl GW</t>
  </si>
  <si>
    <t>T78+T79</t>
  </si>
  <si>
    <t>Goodwill/Cost in Excess of Assets Purchased - Net</t>
  </si>
  <si>
    <t>Adjusted to $0 (goodwill removed)</t>
  </si>
  <si>
    <t>Intangible Assets - excluding Goodwill - Net - Total</t>
  </si>
  <si>
    <t>ROUND(Q79*IS_rev,0)</t>
  </si>
  <si>
    <t>Computer Software - Intangible Assets - Net</t>
  </si>
  <si>
    <t>ROUND(Q80*IS_rev,0)</t>
  </si>
  <si>
    <t>Brands, Patents, Trademarks, Marketing &amp; Artistic Intangibles - Net</t>
  </si>
  <si>
    <t>ROUND(Q81*IS_rev,0)</t>
  </si>
  <si>
    <t>Licenses, Franchises, Copyrights, Property Rights, Prototypes, Contract Based, Models &amp; Designs - Net</t>
  </si>
  <si>
    <t>ROUND(Q82*IS_rev,0)</t>
  </si>
  <si>
    <t>Intangible Assets - Other - Net</t>
  </si>
  <si>
    <t>Immaterial/zero balance – not forecast</t>
  </si>
  <si>
    <t>Intangible Assets - Gross - Total</t>
  </si>
  <si>
    <t>ROUND(Q84*IS_rev,0)</t>
  </si>
  <si>
    <t>Goodwill/Cost in Excess of Assets Purchased - Gross</t>
  </si>
  <si>
    <t>ROUND(Q85*IS_rev,0)</t>
  </si>
  <si>
    <t>Intangible Assets - excluding Goodwill - Gross</t>
  </si>
  <si>
    <t>ROUND(Q86*IS_rev,0)</t>
  </si>
  <si>
    <t>Computer Software - Intangible Assets - Gross</t>
  </si>
  <si>
    <t>ROUND(Q87*IS_rev,0)</t>
  </si>
  <si>
    <t>Brands, Patents, Trademarks, Marketing &amp; Artistic Intangibles - Gross</t>
  </si>
  <si>
    <t>ROUND(Q88*IS_rev,0)</t>
  </si>
  <si>
    <t>Licenses, Franchises, Copyrights, Property Rights, Prototypes, Contract Based, Models &amp; Designs - Gross</t>
  </si>
  <si>
    <t>ROUND(Q89*IS_rev,0)</t>
  </si>
  <si>
    <t>Intangible Assets - Other - Gross - Total</t>
  </si>
  <si>
    <t>Zero/nil – not forecast</t>
  </si>
  <si>
    <t>Intangible Assets - Accumulated Amortization &amp; Impairment - Total</t>
  </si>
  <si>
    <t>ROUND(Q91*IS_rev,0)</t>
  </si>
  <si>
    <t>Goodwill - Accumulated Amortization &amp; Impairment</t>
  </si>
  <si>
    <t>ROUND(Q92*IS_rev,0)</t>
  </si>
  <si>
    <t>Intangible Assets - excluding Goodwill - Accumulated Amortization &amp; Impairment - Total</t>
  </si>
  <si>
    <t>ROUND(Q93*IS_rev,0)</t>
  </si>
  <si>
    <t>Computer Software - Intangible Assets - Accumulated Amortization &amp; Impairment</t>
  </si>
  <si>
    <t>ROUND(Q94*IS_rev,0)</t>
  </si>
  <si>
    <t>Brands, Patents, Trademarks, Marketing &amp; Artistic Intangibles - Accumulated Amortization &amp; Impairment</t>
  </si>
  <si>
    <t>ROUND(Q95*IS_rev,0)</t>
  </si>
  <si>
    <t>Licenses, Franchises, Copy/Property Rights, Prototypes, Contract Based, Models &amp; Designs - Accumulated Amortization &amp; Impairment</t>
  </si>
  <si>
    <t>ROUND(Q96*IS_rev,0)</t>
  </si>
  <si>
    <t>Total Non-Current Assets</t>
  </si>
  <si>
    <t>SUM: Investments + Derivatives + PPE + Other NCA + Intangibles</t>
  </si>
  <si>
    <t>T37+T39+T40+T41+T73+T77</t>
  </si>
  <si>
    <t>Total Assets</t>
  </si>
  <si>
    <t>Total Current Assets + Total Non-Current Assets</t>
  </si>
  <si>
    <t>T35+T97</t>
  </si>
  <si>
    <t>Current Liabilities</t>
  </si>
  <si>
    <t>Trade Accounts Payable &amp; Accruals - Short-Term</t>
  </si>
  <si>
    <t>ROUND(Q101*IS_rev,0)</t>
  </si>
  <si>
    <t>Trade Accounts &amp; Trade Notes Payable - Short-Term</t>
  </si>
  <si>
    <t>ROUND(Q102*IS_rev,0)</t>
  </si>
  <si>
    <t>Accrued Expenses - Short-Term</t>
  </si>
  <si>
    <t>ROUND(Q103*IS_rev,0)</t>
  </si>
  <si>
    <t>Short-Term Debt &amp; Current Portion of Long-Term Debt</t>
  </si>
  <si>
    <t>ROUND(Q104*IS_rev,0)</t>
  </si>
  <si>
    <t>Current Portion of Long-Term Debt including Capitalized Leases</t>
  </si>
  <si>
    <t>T104 (CL incl cap leases = ST Debt total)</t>
  </si>
  <si>
    <t>Current Portion of Long-Term Debt excluding Capitalized Leases</t>
  </si>
  <si>
    <t>Capitalized Leases - Current Portion</t>
  </si>
  <si>
    <t>ROUND(Q107*IS_rev,0)</t>
  </si>
  <si>
    <t>Derivative Liabilities - Hedging - Short-Term</t>
  </si>
  <si>
    <t>ROUND(Q108*IS_rev,0)</t>
  </si>
  <si>
    <t>Income Taxes - Payable - Short-Term</t>
  </si>
  <si>
    <t>ROUND(Q109*IS_rev,0)</t>
  </si>
  <si>
    <t>Other Current Liabilities - Total</t>
  </si>
  <si>
    <t>ROUND(Q110*IS_rev,0)</t>
  </si>
  <si>
    <t>Provisions - Short-Term</t>
  </si>
  <si>
    <t>ROUND(Q111*IS_rev,0)</t>
  </si>
  <si>
    <t>Other Current Liabilities</t>
  </si>
  <si>
    <t>ROUND(Q112*IS_rev,0)</t>
  </si>
  <si>
    <t>Total Current Liabilities</t>
  </si>
  <si>
    <t>SUM: TradePayables + STDebt + DerivLiab + TaxPay + OtherCL</t>
  </si>
  <si>
    <t>T101+T104+T108+T109+T110</t>
  </si>
  <si>
    <t>Non-Current Liabilities</t>
  </si>
  <si>
    <t>Debt - Long-Term - Total</t>
  </si>
  <si>
    <t>SUM: LT Debt excl leases + Cap Lease LT</t>
  </si>
  <si>
    <t>T116+T118</t>
  </si>
  <si>
    <t>Long-Term Debt excluding Capitalized Leases</t>
  </si>
  <si>
    <t>Avg LT debt / share capital (28.96%) × Share Capital (row 134)</t>
  </si>
  <si>
    <t>ROUND(0.2896×T134,0)</t>
  </si>
  <si>
    <t>Debt - Non-Convertible - Long-Term</t>
  </si>
  <si>
    <t>T116 (Non-convertible = LT Debt excl leases)</t>
  </si>
  <si>
    <t>Capitalized Lease Obligations - Long-Term</t>
  </si>
  <si>
    <t>ROUND(Q118*IS_rev,0)</t>
  </si>
  <si>
    <t>Derivative Liabilities - Hedging - Long-Term</t>
  </si>
  <si>
    <t>Other Non-Current Liabilities - Total</t>
  </si>
  <si>
    <t>SUM of provisions LT sub-items</t>
  </si>
  <si>
    <t>T121+T125</t>
  </si>
  <si>
    <t>Provisions - Long-Term</t>
  </si>
  <si>
    <t>SUM: Post Emp + Restructuring + Other</t>
  </si>
  <si>
    <t>T122+T123+T124</t>
  </si>
  <si>
    <t>Post Employment Benefits - Pension &amp; Other - Long-Term</t>
  </si>
  <si>
    <t>ROUND(Q122*IS_rev,0)</t>
  </si>
  <si>
    <t>Provisions - Restructuring - Long-Term</t>
  </si>
  <si>
    <t>ROUND(Q123*IS_rev,0)</t>
  </si>
  <si>
    <t>Provisions - Other - Long-Term</t>
  </si>
  <si>
    <t>ROUND(Q124*IS_rev,0)</t>
  </si>
  <si>
    <t>Other Non-Current Liabilities</t>
  </si>
  <si>
    <t>ROUND(Q125*IS_rev,0)</t>
  </si>
  <si>
    <t>Total Non-Current Liabilities</t>
  </si>
  <si>
    <t>SUM: LT Debt Total + Other NCL Total</t>
  </si>
  <si>
    <t>T115+T120</t>
  </si>
  <si>
    <t>Total Liabilities</t>
  </si>
  <si>
    <t>SUM: Total CL + Total NCL</t>
  </si>
  <si>
    <t>T113+T126</t>
  </si>
  <si>
    <t>Shareholders' Equity</t>
  </si>
  <si>
    <t>Shareholders' Equity - Attributable to Parent Shareholders - Total</t>
  </si>
  <si>
    <t>T142 (SE Attributable = Common Equity Total)</t>
  </si>
  <si>
    <t>Common Equity Attributable to Parent Shareholders</t>
  </si>
  <si>
    <t>T142 (Common Equity Attrib = Common Equity Total)</t>
  </si>
  <si>
    <t>Common Stock - Held in ESOP or Trust/Deferred Compensation</t>
  </si>
  <si>
    <t>Constant – ESOP trust shares unchanged</t>
  </si>
  <si>
    <t>102 (constant)</t>
  </si>
  <si>
    <t>Common Equity - Contributed</t>
  </si>
  <si>
    <t>SUM: Share Capital Issued + APIC</t>
  </si>
  <si>
    <t>T134+T135</t>
  </si>
  <si>
    <t>Common Stock - Issued &amp; Paid</t>
  </si>
  <si>
    <t>Constant – share capital unchanged at 13574</t>
  </si>
  <si>
    <t>13574 (constant)</t>
  </si>
  <si>
    <t>Common Stock - Additional Paid in Capital including Option Reserve</t>
  </si>
  <si>
    <t>ROUND(Q135*IS_rev,0)</t>
  </si>
  <si>
    <t>Equity - Non-Contributed - Reserves &amp; Retained Earnings</t>
  </si>
  <si>
    <t>SUM: Retained Earnings + OCI Accumulated</t>
  </si>
  <si>
    <t>T137+T138</t>
  </si>
  <si>
    <t>Retained Earnings - Total</t>
  </si>
  <si>
    <t>Prior RE + Net Income (IS row 79) – Dividends (IS row 101)</t>
  </si>
  <si>
    <t>prior_RE + IS_NI - IS_Div</t>
  </si>
  <si>
    <t>Comprehensive Income - Accumulated - Total</t>
  </si>
  <si>
    <t>SUM OCI sub-items: Investments + Hedging + FX</t>
  </si>
  <si>
    <t>T139+T140+T141</t>
  </si>
  <si>
    <t>Investments - Unrealized Gain/Loss</t>
  </si>
  <si>
    <t>ROUND(Q139*IS_rev,0)</t>
  </si>
  <si>
    <t>Hedging Reserves</t>
  </si>
  <si>
    <t>ROUND(Q140*IS_rev,0)</t>
  </si>
  <si>
    <t>Foreign Currency Translation Adjustment - Accumulated</t>
  </si>
  <si>
    <t>ROUND(Q141*IS_rev,0)</t>
  </si>
  <si>
    <t>Common Equity - Total</t>
  </si>
  <si>
    <t>SUM: Common Equity Contributed + Non-Contributed – ESOP</t>
  </si>
  <si>
    <t>T133+T136-T132</t>
  </si>
  <si>
    <t>Total Shareholders' Equity</t>
  </si>
  <si>
    <t>Total Shareholders' Equity - including Minority Interest &amp; Hybrid Debt</t>
  </si>
  <si>
    <t>T142 (Total SE incl minority = Common Equity Total)</t>
  </si>
  <si>
    <t>Total Liabilities &amp; Shareholders' Equity</t>
  </si>
  <si>
    <t>Total Liabilities &amp; Equity</t>
  </si>
  <si>
    <t>SUM: Total Liabilities + Total SE</t>
  </si>
  <si>
    <t>T128+T144</t>
  </si>
  <si>
    <t>ADJUSTMENT NOTES</t>
  </si>
  <si>
    <t>GOODWILL ADJUSTMENT (100% write-off):</t>
  </si>
  <si>
    <t>Rationale:</t>
  </si>
  <si>
    <t xml:space="preserve">
Goodwill represents acquisition premiums paid above fair value of identifiable net assets. Under AASB 136 / IAS 36, goodwill is not amortised but tested annually for impairment. For DCF/EVA valuation purposes, goodwill is NOT a productive economic asset that generates future cash flows independently. Including goodwill inflates the asset base and distorts ROIC, WACC-based value drivers, and free cash flow calculations.
Wesfarmers' goodwill averages 12.4% of total assets (FY2021-FY2025), ranging from $2,967m to $3,588m net - a material amount reflecting acquisitions (Bunnings, Kmart, Officeworks, API/Priceline). All goodwill is written off at 100% (net book value after accumulated impairment) to present the balance sheet on a tangible-asset basis for valuation. Adjustment: Goodwill Net → $0; Retained Earnings reduced by full goodwill net balance.</t>
  </si>
  <si>
    <t>DEFERRED TAX ASSET ADJUSTMENT (100% removal):</t>
  </si>
  <si>
    <t xml:space="preserve">
Deferred tax assets represent future tax benefits from temporary timing differences. For fundamental DCF valuation, DTAs do not represent tangible economic value - they cannot be sold or independently monetised, and their realisation depends on future taxable profits. Removing DTAs provides a more conservative, economically grounded asset base consistent with academic EVA/DCF methodology. Wesfarmers' DTA is stable at ~$613-641m (~2.3% of total assets) across all years. Adjustment: Deferred Tax Asset → $0; Retained Earnings reduced by full DTA balance.</t>
  </si>
  <si>
    <t>BALANCE SHEET BALANCING:</t>
  </si>
  <si>
    <t>Plug:</t>
  </si>
  <si>
    <t>Retained Earnings is used as the balancing plug per assignment instructions.
Formula: Adjusted RE = Actual RE − Goodwill Net − Deferred Tax Asset
This preserves the accounting identity: Total Assets = Total Liabilities + Equity.</t>
  </si>
  <si>
    <t>Year</t>
  </si>
  <si>
    <t>Earnings/Net Income</t>
  </si>
  <si>
    <t>Retained Earnings(t-1)</t>
  </si>
  <si>
    <t>Retained Earnings(t)</t>
  </si>
  <si>
    <t xml:space="preserve">Dividend Distribution </t>
  </si>
  <si>
    <t xml:space="preserve">Dividend Payout Ratio </t>
  </si>
  <si>
    <t xml:space="preserve">Retention Ratio </t>
  </si>
  <si>
    <t>Average</t>
  </si>
  <si>
    <t>Note: The dividend payout ratio is calculated as total dividends paid divided by adjusted NPAT each year. Payout ratios are capped at a maximum of 100% and floored at a minimum of 0% per assignment instructions. The average historical payout ratio of 88.16% is applied uniformly to all forecast years 2026–2030.</t>
  </si>
  <si>
    <t xml:space="preserve">Year </t>
  </si>
  <si>
    <t xml:space="preserve">Nominal Operating Revenue </t>
  </si>
  <si>
    <t>CPI</t>
  </si>
  <si>
    <t>Real Operating Revenue</t>
  </si>
  <si>
    <t>Real GDP (in $ millions)</t>
  </si>
  <si>
    <t>Population Growth Rate (%)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</si>
  <si>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</si>
  <si>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</si>
  <si>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</si>
  <si>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</si>
  <si>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</si>
  <si>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</si>
  <si>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</si>
  <si>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</si>
  <si>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</si>
  <si>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</si>
  <si>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</si>
  <si>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</si>
  <si>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</si>
  <si>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</si>
  <si>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</si>
  <si>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</si>
  <si>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</si>
  <si>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</si>
  <si>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</si>
  <si>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</si>
  <si>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</si>
  <si>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</si>
  <si>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</si>
  <si>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</si>
  <si>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Macroeconomic Assumptions</t>
  </si>
  <si>
    <t>Growth %</t>
  </si>
  <si>
    <t xml:space="preserve">Real Operating Revenue </t>
  </si>
  <si>
    <t>Inflation (%)</t>
  </si>
  <si>
    <t>ke</t>
  </si>
  <si>
    <t>g</t>
  </si>
  <si>
    <t>1+ke</t>
  </si>
  <si>
    <t>1+g</t>
  </si>
  <si>
    <t>Note</t>
  </si>
  <si>
    <t>1: Nominal revenues were deflated using the CPI values provided by the RBA to obtain real revenues.</t>
  </si>
  <si>
    <t>2: We forecasted revenues using a regression model with two macroeconomic drivers — Real GDP and Population Growth Rate — obtained from the RBA. The model was estimated using data from 1995 to 2025 and used to project revenues for FY2026–2030.</t>
  </si>
  <si>
    <t>3: Macroeconomic assumptions: Real GDP growth of 2.594% per annum and population growth of 1.496% per annum, based on the past five-year average. Inflation of 2.5% per annum, consistent with the RBA's medium-term target band of 2–3%.</t>
  </si>
  <si>
    <t>4: The R² of 0.431 is moderate. Real GDP is statistically significant (p-value = 0.0035) confirming a meaningful relationship with Wesfarmers' revenues. Population Growth is marginally significant (p-value = 0.070) but was retained given its economic relevance as a key driver of retail demand. Overall we consider the regression results reliable enough to use for forecasting purposes.</t>
  </si>
  <si>
    <t xml:space="preserve">Valuation of FCFE </t>
  </si>
  <si>
    <t>Earnings</t>
  </si>
  <si>
    <t>FCFE</t>
  </si>
  <si>
    <t>NCC</t>
  </si>
  <si>
    <t>D/E</t>
  </si>
  <si>
    <t>WCInv</t>
  </si>
  <si>
    <t>Unlevered beta</t>
  </si>
  <si>
    <t>FCInv</t>
  </si>
  <si>
    <t>Levered Beta</t>
  </si>
  <si>
    <t xml:space="preserve">Net Borrowing </t>
  </si>
  <si>
    <t>Risk-free rate</t>
  </si>
  <si>
    <t>Other NCL</t>
  </si>
  <si>
    <t>Risk premium</t>
  </si>
  <si>
    <t>Cost of equity</t>
  </si>
  <si>
    <t>Duality of FCFE</t>
  </si>
  <si>
    <t>Present value</t>
  </si>
  <si>
    <t>Long-term growth rate</t>
  </si>
  <si>
    <t>Terminal value</t>
  </si>
  <si>
    <t>Valuation of FCFF</t>
  </si>
  <si>
    <t>PVTV</t>
  </si>
  <si>
    <t xml:space="preserve">Total Present Value of Equity </t>
  </si>
  <si>
    <t>Number of Shares (m)</t>
  </si>
  <si>
    <t>Price per Share ($)</t>
  </si>
  <si>
    <t>Market price as at 01/07/25</t>
  </si>
  <si>
    <t xml:space="preserve">Interest (1-T) </t>
  </si>
  <si>
    <t>Recommendation buy/ sell/ hold</t>
  </si>
  <si>
    <t>FCFF</t>
  </si>
  <si>
    <t>E(Equity)</t>
  </si>
  <si>
    <t>Duality of FCFF</t>
  </si>
  <si>
    <t>D (Total Debt)</t>
  </si>
  <si>
    <t>V = E + D</t>
  </si>
  <si>
    <t>E/V</t>
  </si>
  <si>
    <t>D/V</t>
  </si>
  <si>
    <t>Cost of Debt(Kd)</t>
  </si>
  <si>
    <t>Tax Rate</t>
  </si>
  <si>
    <t>WACC</t>
  </si>
  <si>
    <t>YEAR</t>
  </si>
  <si>
    <t>t</t>
  </si>
  <si>
    <t>PV of Each years FCFF</t>
  </si>
  <si>
    <t>Terminal Value</t>
  </si>
  <si>
    <t>Total Present Value of Firm</t>
  </si>
  <si>
    <t>Value of debt</t>
  </si>
  <si>
    <t>Value of equity</t>
  </si>
  <si>
    <t>Number of shares (m)</t>
  </si>
  <si>
    <t>Price per share</t>
  </si>
  <si>
    <t>NOTE: Risk-free rate = 2.709% | See Beta Analysis sheet for full beta summary table</t>
  </si>
  <si>
    <t>Free Cash Flow to the Firm (FCFF) — Wesfarmers Ltd (WES.AX)</t>
  </si>
  <si>
    <t>AUD $m | FY2026–FY2030 | All components formula-linked to pro-forma IS and BS | Duality checks for both FCFE and FCFF</t>
  </si>
  <si>
    <t>SECTION 1 — FCFF FORMULA &amp; RELATIONSHIP TO FCFE</t>
  </si>
  <si>
    <t>FCFF  =  E  +  NCC  −  ΔWCAP  −  FCInv  +  Interest×(1−T)  +  Δ Other NCL</t>
  </si>
  <si>
    <t>FCFF  =  FCFE  +  Interest×(1−T)  −  Net Borrowing  (key relationship)</t>
  </si>
  <si>
    <t>Where:</t>
  </si>
  <si>
    <t xml:space="preserve">  E  =  Net Income</t>
  </si>
  <si>
    <t>IS row 79 — same as FCFE</t>
  </si>
  <si>
    <t xml:space="preserve">  NCC  =  Non-Cash Charges (Dep + Amort)</t>
  </si>
  <si>
    <t>IS rows 30+29 — same as FCFE</t>
  </si>
  <si>
    <t xml:space="preserve">  ΔWCAP  =  Change in Net Working Capital</t>
  </si>
  <si>
    <t>BS rows 35,20,113,104 — same as FCFE</t>
  </si>
  <si>
    <t xml:space="preserve">  FCInv  =  Net Capital Expenditure</t>
  </si>
  <si>
    <t>BS row 41 + IS row 30 — same as FCFE</t>
  </si>
  <si>
    <t xml:space="preserve">  Interest×(1−T)  =  After-tax interest expense</t>
  </si>
  <si>
    <t>IS row 50 × (1−avg tax rate)  =  IS row 50 × 0.7103</t>
  </si>
  <si>
    <t xml:space="preserve">  Δ Other NCL  =  Change in other non-current liabilities</t>
  </si>
  <si>
    <t>BS row 120 — same as FCFE</t>
  </si>
  <si>
    <t xml:space="preserve">  Note: Net Borrowing is EXCLUDED — FCFF is pre-financing (available to ALL capital providers)</t>
  </si>
  <si>
    <t>Net Borrowing is a financing decision, not part of the firm's operating free cash flow</t>
  </si>
  <si>
    <t>SECTION 2 — FCFF CALCULATION (FY2026–FY2030)</t>
  </si>
  <si>
    <t>IS row 79: Net Income after Tax (same as FCFE)</t>
  </si>
  <si>
    <t>IS row 30: Depreciation (same as FCFE)</t>
  </si>
  <si>
    <t>IS row 29: Amortisation (same as FCFE)</t>
  </si>
  <si>
    <t>Sum of IS rows 30 and 29 (same as FCFE)</t>
  </si>
  <si>
    <t>(TCA−Cash−TCL+STD)_t − prior year | BS rows 35,20,113,104 (same as FCFE)</t>
  </si>
  <si>
    <t>PPE_t − PPE_{t-1} + Dep_t | BS row 41 + IS row 30 (same as FCFE)</t>
  </si>
  <si>
    <t>Add:  Interest × (1−T)  [avg T = 0.2897]</t>
  </si>
  <si>
    <t>IS row 50 (Interest Expense) × (1−0.2897) = × 0.7103  |  After-tax cost of debt</t>
  </si>
  <si>
    <t>BS row 120: Other NCL Total vs prior year (same as FCFE)</t>
  </si>
  <si>
    <t>FCFF  =  E + NCC − ΔWCAP − FCInv + Interest×(1−T) + Δ Other NCL</t>
  </si>
  <si>
    <t>e + ncc − ΔWCAP − FCInv + Interest×(1−T) + Δ Other NCL</t>
  </si>
  <si>
    <t>Duality of FCFF  =  Inv.Capital_{t-1} + NI + Int×(1−T) − Inv.Capital_t</t>
  </si>
  <si>
    <t>(Equity+LTD+STD)_{t-1} + NI + Int×(1-T) − (Equity+LTD+STD)_t | Invested Capital approach</t>
  </si>
  <si>
    <t>SECTION 3 — FCFE vs FCFF RECONCILIATION</t>
  </si>
  <si>
    <t>Item</t>
  </si>
  <si>
    <t>FCFE  (from FCFE sheet)</t>
  </si>
  <si>
    <t>FCFE row 25 on FCFE sheet</t>
  </si>
  <si>
    <t>Add:  Interest × (1−T)</t>
  </si>
  <si>
    <t>Row 24 above: IS row 50 × 0.7103</t>
  </si>
  <si>
    <t>Less:  Net Borrowing  Δ(LTD + STD)</t>
  </si>
  <si>
    <t>Same Net Borrowing as FCFE sheet | BS rows 116+104</t>
  </si>
  <si>
    <t>FCFF  =  FCFE + Int×(1−T) − Net Borrowing</t>
  </si>
  <si>
    <t>Should equal FCFF row 26 above</t>
  </si>
  <si>
    <t>FCFF check (row 26)</t>
  </si>
  <si>
    <t>Cross-check: must equal row 34</t>
  </si>
  <si>
    <t>Difference (should be 0)</t>
  </si>
  <si>
    <t>Any non-zero value indicates a formula error</t>
  </si>
  <si>
    <t>SECTION 4 — DUALITY CHECK SUMMARY (FCFE and FCFF)</t>
  </si>
  <si>
    <t>Check</t>
  </si>
  <si>
    <t>Definition</t>
  </si>
  <si>
    <t>FCFE (built up)</t>
  </si>
  <si>
    <t>E + NCC − ΔWCAP − FCInv + Net Borrowing + Δ Other NCL</t>
  </si>
  <si>
    <t>Equity_{t-1} + NI − Equity_t  |  From FCFE sheet row 26</t>
  </si>
  <si>
    <t>Residual (FCFE gap)</t>
  </si>
  <si>
    <t>Small residual = OCI non-cash movements in equity</t>
  </si>
  <si>
    <t>FCFF (built up)</t>
  </si>
  <si>
    <t>E + NCC − ΔWCAP − FCInv + Int×(1−T) + Δ Other NCL</t>
  </si>
  <si>
    <t>Inv.Capital_{t-1} + NI + Int×(1−T) − Inv.Capital_t</t>
  </si>
  <si>
    <t>Residual (FCFF gap)</t>
  </si>
  <si>
    <t>SECTION 5 — METHODOLOGY NOTES</t>
  </si>
  <si>
    <t>1. FCFF represents cash flow available to ALL capital providers (debt + equity). FCFE is available to equity holders only.</t>
  </si>
  <si>
    <t>2. The relationship FCFF = FCFE + Interest×(1−T) − Net Borrowing holds exactly in every forecast year (verified in Section 3).</t>
  </si>
  <si>
    <t>3. Interest×(1−T) uses the average effective tax rate of 28.974% → multiplier = 0.7103. Interest from IS row 50.</t>
  </si>
  <si>
    <t>4. Components E, NCC, ΔWCAP, FCInv, and Δ Other NCL are identical to FCFE. Only the financing adjustment differs.</t>
  </si>
  <si>
    <t>5. FCFF Duality: Invested Capital = Equity (BS r142) + LT Debt excl. leases (r116) + ST Debt (r104). Cap. lease obligations excluded (non-cash AASB 16).</t>
  </si>
  <si>
    <t>6. FCFE Duality: Equity_{t-1} + NI − Equity_t (following last year's methodology). Residuals reflect OCI reserve movements.</t>
  </si>
  <si>
    <t>7. FCFF is positive in all forecast years, confirming Wesfarmers generates sufficient operating cash flow above reinvestment needs for all providers of capital.</t>
  </si>
  <si>
    <t>Exchange Date</t>
  </si>
  <si>
    <t>Close</t>
  </si>
  <si>
    <t>Net</t>
  </si>
  <si>
    <t>%Chg</t>
  </si>
  <si>
    <t>Open</t>
  </si>
  <si>
    <t>Low</t>
  </si>
  <si>
    <t>High</t>
  </si>
  <si>
    <t>Volume</t>
  </si>
  <si>
    <t>Turnover - AUD</t>
  </si>
  <si>
    <t>Flow</t>
  </si>
  <si>
    <t>DATE</t>
  </si>
  <si>
    <t>WES Price</t>
  </si>
  <si>
    <t>ASX200</t>
  </si>
  <si>
    <t>WES Return</t>
  </si>
  <si>
    <t>Market Research</t>
  </si>
  <si>
    <t>SUMMARY TABLE</t>
  </si>
  <si>
    <t>VALUES</t>
  </si>
  <si>
    <t>Regression Period</t>
  </si>
  <si>
    <t>31 Jan 2020 - Jun 2026</t>
  </si>
  <si>
    <t xml:space="preserve">Observations </t>
  </si>
  <si>
    <t>Raw levered Beta</t>
  </si>
  <si>
    <t>t-Statistic</t>
  </si>
  <si>
    <t>p-value</t>
  </si>
  <si>
    <t xml:space="preserve">Tax Rate </t>
  </si>
  <si>
    <t>Avereage D/E</t>
  </si>
  <si>
    <t>Unlevered Beta</t>
  </si>
  <si>
    <t>Risk-Free Rate</t>
  </si>
  <si>
    <t>Market Risk Premium</t>
  </si>
  <si>
    <t>Re-levered Beta 2026</t>
  </si>
  <si>
    <t>Re-levered Beta 2027</t>
  </si>
  <si>
    <t>Re-levered Beta 2028</t>
  </si>
  <si>
    <t>Re-levered Beta 2029</t>
  </si>
  <si>
    <t>Re-levered Beta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</si>
</sst>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\ h:mm:ss"/>
    <numFmt numFmtId="165" formatCode="#,##0;\(#,##0\);\-"/>
    <numFmt numFmtId="166" formatCode="#,##0.0"/>
    <numFmt numFmtId="167" formatCode="0.000"/>
    <numFmt numFmtId="168" formatCode="dd\-mmm\-yyyy"/>
    <numFmt numFmtId="169" formatCode="#,##0.000;\-#,##0.000;#,##0.000;&quot;--&quot;"/>
    <numFmt numFmtId="170" formatCode="\+#,##0.000;\-#,##0.000;#,##0.000;&quot;--&quot;"/>
    <numFmt numFmtId="171" formatCode="\+#,##0.000%;\-#,##0.000%;#,##0.000%;&quot;--&quot;"/>
    <numFmt numFmtId="172" formatCode="#,##0;\-#,##0;#,##0;&quot;--&quot;"/>
  </numFmts>
  <fonts count="31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i/>
      <sz val="9"/>
      <color rgb="FF595959"/>
      <name val="Arial"/>
      <family val="2"/>
      <charset val="1"/>
    </font>
    <font>
      <sz val="9"/>
      <color rgb="FF595959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b/>
      <sz val="12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1"/>
      <name val="Arial"/>
      <family val="2"/>
      <charset val="1"/>
    </font>
    <font>
      <i/>
      <sz val="10"/>
      <name val="Arial"/>
      <family val="2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i/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i/>
      <sz val="11"/>
      <color theme="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D5D8DB"/>
      </patternFill>
    </fill>
    <fill>
      <patternFill patternType="solid">
        <fgColor rgb="FF1F4E79"/>
        <bgColor rgb="FF003366"/>
      </patternFill>
    </fill>
    <fill>
      <patternFill patternType="solid">
        <fgColor rgb="FFDCE6F1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DAEEF3"/>
        <bgColor rgb="FFDCE6F1"/>
      </patternFill>
    </fill>
    <fill>
      <patternFill patternType="solid">
        <fgColor rgb="FFE2EFDA"/>
        <bgColor rgb="FFDAEEF3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D5D8DB"/>
      </patternFill>
    </fill>
    <fill>
      <patternFill patternType="solid">
        <fgColor rgb="FFC6EFCE"/>
        <bgColor rgb="FFE2EFDA"/>
      </patternFill>
    </fill>
    <fill>
      <patternFill patternType="solid">
        <fgColor theme="0" tint="-0.499984740745262"/>
        <bgColor rgb="FFA6A6A6"/>
      </patternFill>
    </fill>
    <fill>
      <patternFill patternType="solid">
        <fgColor theme="0"/>
        <bgColor rgb="FFF2F2F2"/>
      </patternFill>
    </fill>
    <fill>
      <patternFill patternType="solid">
        <fgColor rgb="FF0070C0"/>
        <bgColor rgb="FF008080"/>
      </patternFill>
    </fill>
    <fill>
      <patternFill patternType="solid">
        <fgColor rgb="FFA6A6A6"/>
        <bgColor rgb="FF9999FF"/>
      </patternFill>
    </fill>
  </fills>
  <borders count="11">
    <border>
      <left/>
      <right/>
      <top/>
      <bottom/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43">
    <xf numFmtId="0" fontId="0" fillId="0" borderId="0" xfId="0"/>
    <xf numFmtId="0" fontId="30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/>
    <xf numFmtId="0" fontId="4" fillId="0" borderId="0" xfId="0" applyFont="1"/>
    <xf numFmtId="164" fontId="4" fillId="0" borderId="0" xfId="0" applyNumberFormat="1" applyFont="1"/>
    <xf numFmtId="0" fontId="3" fillId="0" borderId="0" xfId="0" applyFont="1"/>
    <xf numFmtId="0" fontId="5" fillId="3" borderId="0" xfId="0" applyFont="1" applyFill="1" applyAlignment="1">
      <alignment horizontal="center" wrapText="1"/>
    </xf>
    <xf numFmtId="49" fontId="0" fillId="0" borderId="0" xfId="0" applyNumberFormat="1"/>
    <xf numFmtId="165" fontId="4" fillId="0" borderId="0" xfId="0" applyNumberFormat="1" applyFont="1"/>
    <xf numFmtId="10" fontId="6" fillId="0" borderId="0" xfId="0" applyNumberFormat="1" applyFont="1"/>
    <xf numFmtId="10" fontId="4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165" fontId="6" fillId="0" borderId="0" xfId="0" applyNumberFormat="1" applyFont="1"/>
    <xf numFmtId="0" fontId="3" fillId="4" borderId="0" xfId="0" applyFont="1" applyFill="1"/>
    <xf numFmtId="165" fontId="3" fillId="4" borderId="0" xfId="0" applyNumberFormat="1" applyFont="1" applyFill="1"/>
    <xf numFmtId="165" fontId="9" fillId="5" borderId="0" xfId="0" applyNumberFormat="1" applyFont="1" applyFill="1"/>
    <xf numFmtId="165" fontId="6" fillId="6" borderId="0" xfId="0" applyNumberFormat="1" applyFont="1" applyFill="1"/>
    <xf numFmtId="165" fontId="6" fillId="7" borderId="0" xfId="0" applyNumberFormat="1" applyFont="1" applyFill="1"/>
    <xf numFmtId="165" fontId="3" fillId="8" borderId="0" xfId="0" applyNumberFormat="1" applyFont="1" applyFill="1"/>
    <xf numFmtId="0" fontId="3" fillId="9" borderId="0" xfId="0" applyFont="1" applyFill="1"/>
    <xf numFmtId="165" fontId="10" fillId="0" borderId="0" xfId="0" applyNumberFormat="1" applyFont="1"/>
    <xf numFmtId="165" fontId="6" fillId="9" borderId="0" xfId="0" applyNumberFormat="1" applyFont="1" applyFill="1"/>
    <xf numFmtId="0" fontId="5" fillId="3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left" vertical="center"/>
    </xf>
    <xf numFmtId="3" fontId="3" fillId="10" borderId="0" xfId="0" applyNumberFormat="1" applyFont="1" applyFill="1" applyAlignment="1">
      <alignment horizontal="right"/>
    </xf>
    <xf numFmtId="3" fontId="4" fillId="0" borderId="0" xfId="0" applyNumberFormat="1" applyFont="1" applyAlignment="1">
      <alignment horizontal="right"/>
    </xf>
    <xf numFmtId="0" fontId="14" fillId="11" borderId="0" xfId="0" applyFont="1" applyFill="1" applyAlignment="1">
      <alignment horizontal="left" vertical="center"/>
    </xf>
    <xf numFmtId="3" fontId="3" fillId="11" borderId="0" xfId="0" applyNumberFormat="1" applyFont="1" applyFill="1" applyAlignment="1">
      <alignment horizontal="right"/>
    </xf>
    <xf numFmtId="0" fontId="14" fillId="6" borderId="0" xfId="0" applyFont="1" applyFill="1" applyAlignment="1">
      <alignment horizontal="left" vertical="center"/>
    </xf>
    <xf numFmtId="3" fontId="3" fillId="6" borderId="0" xfId="0" applyNumberFormat="1" applyFont="1" applyFill="1" applyAlignment="1">
      <alignment horizontal="right"/>
    </xf>
    <xf numFmtId="0" fontId="14" fillId="12" borderId="0" xfId="0" applyFont="1" applyFill="1" applyAlignment="1">
      <alignment horizontal="left" vertical="center"/>
    </xf>
    <xf numFmtId="3" fontId="3" fillId="12" borderId="0" xfId="0" applyNumberFormat="1" applyFont="1" applyFill="1" applyAlignment="1">
      <alignment horizontal="right"/>
    </xf>
    <xf numFmtId="0" fontId="15" fillId="3" borderId="0" xfId="0" applyFont="1" applyFill="1" applyAlignment="1">
      <alignment horizontal="left" vertical="center"/>
    </xf>
    <xf numFmtId="3" fontId="15" fillId="3" borderId="0" xfId="0" applyNumberFormat="1" applyFont="1" applyFill="1" applyAlignment="1">
      <alignment horizontal="right"/>
    </xf>
    <xf numFmtId="49" fontId="5" fillId="3" borderId="0" xfId="0" applyNumberFormat="1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3" fontId="3" fillId="5" borderId="0" xfId="0" applyNumberFormat="1" applyFont="1" applyFill="1" applyAlignment="1">
      <alignment horizontal="right"/>
    </xf>
    <xf numFmtId="165" fontId="0" fillId="0" borderId="0" xfId="0" applyNumberFormat="1"/>
    <xf numFmtId="165" fontId="16" fillId="5" borderId="0" xfId="0" applyNumberFormat="1" applyFont="1" applyFill="1"/>
    <xf numFmtId="165" fontId="14" fillId="4" borderId="0" xfId="0" applyNumberFormat="1" applyFont="1" applyFill="1"/>
    <xf numFmtId="0" fontId="10" fillId="0" borderId="0" xfId="0" applyFont="1"/>
    <xf numFmtId="165" fontId="6" fillId="8" borderId="0" xfId="0" applyNumberFormat="1" applyFont="1" applyFill="1"/>
    <xf numFmtId="165" fontId="14" fillId="8" borderId="0" xfId="0" applyNumberFormat="1" applyFont="1" applyFill="1"/>
    <xf numFmtId="0" fontId="17" fillId="0" borderId="0" xfId="0" applyFont="1"/>
    <xf numFmtId="0" fontId="18" fillId="0" borderId="0" xfId="0" applyFont="1"/>
    <xf numFmtId="0" fontId="1" fillId="0" borderId="0" xfId="0" applyFont="1"/>
    <xf numFmtId="0" fontId="19" fillId="0" borderId="0" xfId="0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1" fillId="0" borderId="0" xfId="0" applyNumberFormat="1" applyFont="1"/>
    <xf numFmtId="3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5" borderId="0" xfId="0" applyFont="1" applyFill="1" applyAlignment="1">
      <alignment horizontal="center"/>
    </xf>
    <xf numFmtId="166" fontId="22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1" fillId="0" borderId="3" xfId="0" applyFont="1" applyBorder="1"/>
    <xf numFmtId="3" fontId="22" fillId="0" borderId="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 vertical="top"/>
    </xf>
    <xf numFmtId="1" fontId="22" fillId="0" borderId="0" xfId="0" applyNumberFormat="1" applyFont="1" applyAlignment="1">
      <alignment horizontal="center"/>
    </xf>
    <xf numFmtId="167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0" fontId="20" fillId="0" borderId="0" xfId="0" applyFont="1"/>
    <xf numFmtId="1" fontId="24" fillId="0" borderId="4" xfId="0" applyNumberFormat="1" applyFont="1" applyBorder="1"/>
    <xf numFmtId="1" fontId="24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/>
    <xf numFmtId="0" fontId="20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wrapText="1"/>
    </xf>
    <xf numFmtId="1" fontId="0" fillId="0" borderId="4" xfId="0" applyNumberFormat="1" applyBorder="1" applyAlignment="1">
      <alignment horizontal="center"/>
    </xf>
    <xf numFmtId="0" fontId="0" fillId="0" borderId="4" xfId="0" applyBorder="1"/>
    <xf numFmtId="3" fontId="1" fillId="0" borderId="4" xfId="0" applyNumberFormat="1" applyFont="1" applyBorder="1" applyAlignment="1">
      <alignment horizontal="center"/>
    </xf>
    <xf numFmtId="3" fontId="25" fillId="0" borderId="4" xfId="0" applyNumberFormat="1" applyFont="1" applyBorder="1" applyAlignment="1">
      <alignment horizontal="center" wrapText="1"/>
    </xf>
    <xf numFmtId="2" fontId="1" fillId="0" borderId="4" xfId="0" applyNumberFormat="1" applyFont="1" applyBorder="1" applyAlignment="1">
      <alignment horizontal="center"/>
    </xf>
    <xf numFmtId="1" fontId="25" fillId="0" borderId="4" xfId="0" applyNumberFormat="1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/>
    </xf>
    <xf numFmtId="1" fontId="26" fillId="0" borderId="4" xfId="0" applyNumberFormat="1" applyFont="1" applyBorder="1"/>
    <xf numFmtId="3" fontId="27" fillId="0" borderId="4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/>
    </xf>
    <xf numFmtId="3" fontId="0" fillId="0" borderId="0" xfId="0" applyNumberFormat="1"/>
    <xf numFmtId="3" fontId="0" fillId="0" borderId="4" xfId="0" applyNumberFormat="1" applyBorder="1" applyAlignment="1">
      <alignment horizontal="center"/>
    </xf>
    <xf numFmtId="0" fontId="28" fillId="0" borderId="4" xfId="0" applyFont="1" applyBorder="1"/>
    <xf numFmtId="10" fontId="0" fillId="0" borderId="4" xfId="0" applyNumberFormat="1" applyBorder="1"/>
    <xf numFmtId="0" fontId="19" fillId="0" borderId="4" xfId="0" applyFont="1" applyBorder="1" applyAlignment="1">
      <alignment horizontal="left"/>
    </xf>
    <xf numFmtId="3" fontId="19" fillId="0" borderId="4" xfId="0" applyNumberFormat="1" applyFont="1" applyBorder="1" applyAlignment="1">
      <alignment horizontal="center"/>
    </xf>
    <xf numFmtId="0" fontId="24" fillId="13" borderId="4" xfId="0" applyFont="1" applyFill="1" applyBorder="1"/>
    <xf numFmtId="0" fontId="24" fillId="13" borderId="5" xfId="0" applyFont="1" applyFill="1" applyBorder="1"/>
    <xf numFmtId="0" fontId="24" fillId="14" borderId="6" xfId="0" applyFont="1" applyFill="1" applyBorder="1"/>
    <xf numFmtId="0" fontId="0" fillId="14" borderId="7" xfId="0" applyFill="1" applyBorder="1"/>
    <xf numFmtId="3" fontId="0" fillId="0" borderId="4" xfId="0" applyNumberFormat="1" applyBorder="1"/>
    <xf numFmtId="0" fontId="0" fillId="0" borderId="8" xfId="0" applyBorder="1"/>
    <xf numFmtId="3" fontId="0" fillId="0" borderId="8" xfId="0" applyNumberFormat="1" applyBorder="1"/>
    <xf numFmtId="0" fontId="24" fillId="0" borderId="4" xfId="0" applyFont="1" applyBorder="1"/>
    <xf numFmtId="0" fontId="15" fillId="15" borderId="0" xfId="0" applyFont="1" applyFill="1" applyAlignment="1">
      <alignment horizontal="left" vertical="center"/>
    </xf>
    <xf numFmtId="3" fontId="15" fillId="15" borderId="0" xfId="0" applyNumberFormat="1" applyFont="1" applyFill="1" applyAlignment="1">
      <alignment horizontal="right"/>
    </xf>
    <xf numFmtId="49" fontId="5" fillId="15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3" fontId="5" fillId="3" borderId="0" xfId="0" applyNumberFormat="1" applyFont="1" applyFill="1" applyAlignment="1">
      <alignment horizontal="right"/>
    </xf>
    <xf numFmtId="3" fontId="14" fillId="12" borderId="0" xfId="0" applyNumberFormat="1" applyFont="1" applyFill="1" applyAlignment="1">
      <alignment horizontal="right"/>
    </xf>
    <xf numFmtId="3" fontId="14" fillId="6" borderId="0" xfId="0" applyNumberFormat="1" applyFont="1" applyFill="1" applyAlignment="1">
      <alignment horizontal="right"/>
    </xf>
    <xf numFmtId="0" fontId="5" fillId="15" borderId="0" xfId="0" applyFont="1" applyFill="1" applyAlignment="1">
      <alignment horizontal="left" vertical="center"/>
    </xf>
    <xf numFmtId="3" fontId="5" fillId="15" borderId="0" xfId="0" applyNumberFormat="1" applyFont="1" applyFill="1" applyAlignment="1">
      <alignment horizontal="right"/>
    </xf>
    <xf numFmtId="0" fontId="6" fillId="10" borderId="0" xfId="0" applyFont="1" applyFill="1" applyAlignment="1">
      <alignment horizontal="left" vertical="center"/>
    </xf>
    <xf numFmtId="3" fontId="6" fillId="10" borderId="0" xfId="0" applyNumberFormat="1" applyFont="1" applyFill="1" applyAlignment="1">
      <alignment horizontal="right"/>
    </xf>
    <xf numFmtId="3" fontId="14" fillId="5" borderId="0" xfId="0" applyNumberFormat="1" applyFont="1" applyFill="1" applyAlignment="1">
      <alignment horizontal="right"/>
    </xf>
    <xf numFmtId="0" fontId="29" fillId="16" borderId="5" xfId="0" applyFont="1" applyFill="1" applyBorder="1" applyAlignment="1">
      <alignment horizontal="right"/>
    </xf>
    <xf numFmtId="0" fontId="29" fillId="16" borderId="4" xfId="0" applyFont="1" applyFill="1" applyBorder="1" applyAlignment="1">
      <alignment horizontal="right"/>
    </xf>
    <xf numFmtId="168" fontId="28" fillId="0" borderId="9" xfId="0" applyNumberFormat="1" applyFont="1" applyBorder="1"/>
    <xf numFmtId="169" fontId="28" fillId="0" borderId="10" xfId="0" applyNumberFormat="1" applyFont="1" applyBorder="1"/>
    <xf numFmtId="170" fontId="28" fillId="0" borderId="10" xfId="0" applyNumberFormat="1" applyFont="1" applyBorder="1"/>
    <xf numFmtId="171" fontId="28" fillId="0" borderId="10" xfId="0" applyNumberFormat="1" applyFont="1" applyBorder="1"/>
    <xf numFmtId="172" fontId="28" fillId="0" borderId="10" xfId="0" applyNumberFormat="1" applyFont="1" applyBorder="1"/>
    <xf numFmtId="168" fontId="28" fillId="0" borderId="4" xfId="0" applyNumberFormat="1" applyFont="1" applyBorder="1"/>
    <xf numFmtId="169" fontId="28" fillId="0" borderId="4" xfId="0" applyNumberFormat="1" applyFont="1" applyBorder="1"/>
    <xf numFmtId="170" fontId="28" fillId="0" borderId="4" xfId="0" applyNumberFormat="1" applyFont="1" applyBorder="1"/>
    <xf numFmtId="171" fontId="28" fillId="0" borderId="4" xfId="0" applyNumberFormat="1" applyFont="1" applyBorder="1"/>
    <xf numFmtId="172" fontId="28" fillId="0" borderId="4" xfId="0" applyNumberFormat="1" applyFont="1" applyBorder="1"/>
    <xf numFmtId="0" fontId="24" fillId="13" borderId="0" xfId="0" applyFont="1" applyFill="1"/>
    <xf numFmtId="169" fontId="28" fillId="0" borderId="5" xfId="0" applyNumberFormat="1" applyFont="1" applyBorder="1"/>
    <xf numFmtId="0" fontId="0" fillId="0" borderId="3" xfId="0" applyBorder="1"/>
    <xf numFmtId="0" fontId="24" fillId="0" borderId="0" xfId="0" applyFont="1"/>
    <xf numFmtId="0" fontId="24" fillId="0" borderId="8" xfId="0" applyFont="1" applyBorder="1"/>
    <xf numFmtId="0" fontId="11" fillId="3" borderId="0" xfId="0" applyFont="1" applyFill="1" applyAlignment="1">
      <alignment horizontal="left" vertical="center"/>
    </xf>
    <xf numFmtId="0" fontId="12" fillId="10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0" fillId="0" borderId="0" xfId="0" applyFont="1" applyAlignment="1">
      <alignment horizontal="left" vertical="center" wrapText="1"/>
    </xf>
    <xf numFmtId="0" fontId="23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 2 3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8DB"/>
      <rgbColor rgb="FF808080"/>
      <rgbColor rgb="FF9999FF"/>
      <rgbColor rgb="FF993366"/>
      <rgbColor rgb="FFFFF2CC"/>
      <rgbColor rgb="FFDAEEF3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D9D9D9"/>
      <rgbColor rgb="FFFF99CC"/>
      <rgbColor rgb="FFDCE6F1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G22:H33" totalsRowShown="0">
  <autoFilter ref="G22:H33" xr:uid="{00000000-0009-0000-0100-000001000000}"/>
  <tableColumns count="2">
    <tableColumn id="1" xr3:uid="{00000000-0010-0000-0000-000001000000}" name="SUMMARY TABLE"/>
    <tableColumn id="2" xr3:uid="{00000000-0010-0000-0000-000002000000}" name="VALU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topLeftCell="A86" zoomScaleNormal="100" workbookViewId="0">
      <selection activeCell="A39" sqref="A39"/>
    </sheetView>
  </sheetViews>
  <sheetFormatPr baseColWidth="10" defaultColWidth="8.6640625" defaultRowHeight="15" x14ac:dyDescent="0.2"/>
  <cols>
    <col min="1" max="1" width="96.33203125" customWidth="1"/>
    <col min="2" max="2" width="23.5" customWidth="1"/>
    <col min="3" max="6" width="18.5" customWidth="1"/>
    <col min="7" max="7" width="11" customWidth="1"/>
    <col min="8" max="8" width="10.5" customWidth="1"/>
    <col min="9" max="9" width="46.33203125" customWidth="1"/>
    <col min="10" max="10" width="51.5" customWidth="1"/>
    <col min="11" max="15" width="6.5" customWidth="1"/>
    <col min="16" max="19" width="11" customWidth="1"/>
  </cols>
  <sheetData>
    <row r="1" spans="1:6" ht="15" customHeight="1" x14ac:dyDescent="0.2">
      <c r="A1" s="5" t="s">
        <v>0</v>
      </c>
      <c r="B1" s="5"/>
      <c r="C1" s="5"/>
      <c r="D1" s="5"/>
      <c r="E1" s="5"/>
      <c r="F1" s="5"/>
    </row>
    <row r="2" spans="1:6" ht="15" customHeight="1" x14ac:dyDescent="0.2">
      <c r="A2" s="6" t="s">
        <v>1</v>
      </c>
      <c r="B2" s="6" t="s">
        <v>2</v>
      </c>
      <c r="C2" s="6"/>
      <c r="D2" s="6"/>
      <c r="E2" s="6"/>
      <c r="F2" s="6"/>
    </row>
    <row r="3" spans="1:6" ht="15" customHeight="1" x14ac:dyDescent="0.2">
      <c r="A3" s="6" t="s">
        <v>3</v>
      </c>
      <c r="B3" s="6" t="s">
        <v>4</v>
      </c>
      <c r="C3" s="6"/>
      <c r="D3" s="6"/>
      <c r="E3" s="6"/>
      <c r="F3" s="6"/>
    </row>
    <row r="4" spans="1:6" ht="15" customHeight="1" x14ac:dyDescent="0.2">
      <c r="A4" s="6" t="s">
        <v>5</v>
      </c>
      <c r="B4" s="6" t="s">
        <v>4</v>
      </c>
      <c r="C4" s="6"/>
      <c r="D4" s="6"/>
      <c r="E4" s="6"/>
      <c r="F4" s="6"/>
    </row>
    <row r="5" spans="1:6" ht="15" customHeight="1" x14ac:dyDescent="0.2">
      <c r="A5" s="6" t="s">
        <v>6</v>
      </c>
      <c r="B5" s="6" t="s">
        <v>7</v>
      </c>
      <c r="C5" s="6"/>
      <c r="D5" s="6"/>
      <c r="E5" s="6"/>
      <c r="F5" s="6"/>
    </row>
    <row r="6" spans="1:6" ht="15" customHeight="1" x14ac:dyDescent="0.2">
      <c r="A6" s="6" t="s">
        <v>8</v>
      </c>
      <c r="B6" s="6" t="s">
        <v>9</v>
      </c>
      <c r="C6" s="6"/>
      <c r="D6" s="6"/>
      <c r="E6" s="6"/>
      <c r="F6" s="6"/>
    </row>
    <row r="7" spans="1:6" ht="15" customHeight="1" x14ac:dyDescent="0.2">
      <c r="A7" s="6" t="s">
        <v>10</v>
      </c>
      <c r="B7" s="6" t="s">
        <v>11</v>
      </c>
      <c r="C7" s="6"/>
      <c r="D7" s="6"/>
      <c r="E7" s="6"/>
      <c r="F7" s="6"/>
    </row>
    <row r="8" spans="1:6" ht="15" customHeight="1" x14ac:dyDescent="0.2">
      <c r="A8" s="6" t="s">
        <v>12</v>
      </c>
      <c r="B8" s="6" t="s">
        <v>13</v>
      </c>
      <c r="C8" s="6"/>
      <c r="D8" s="6"/>
      <c r="E8" s="6"/>
      <c r="F8" s="6"/>
    </row>
    <row r="9" spans="1:6" ht="15" customHeight="1" x14ac:dyDescent="0.2">
      <c r="A9" s="6" t="s">
        <v>14</v>
      </c>
      <c r="B9" s="6" t="s">
        <v>15</v>
      </c>
      <c r="C9" s="6"/>
      <c r="D9" s="6"/>
      <c r="E9" s="6"/>
      <c r="F9" s="6"/>
    </row>
    <row r="10" spans="1:6" ht="15" customHeight="1" x14ac:dyDescent="0.2">
      <c r="A10" s="6" t="s">
        <v>16</v>
      </c>
      <c r="B10" s="7">
        <v>46164.122743067099</v>
      </c>
      <c r="C10" s="6"/>
      <c r="D10" s="6"/>
      <c r="E10" s="6"/>
      <c r="F10" s="6"/>
    </row>
    <row r="11" spans="1:6" ht="15" customHeight="1" x14ac:dyDescent="0.2">
      <c r="A11" s="6" t="s">
        <v>17</v>
      </c>
      <c r="B11" s="6" t="s">
        <v>18</v>
      </c>
      <c r="C11" s="6" t="s">
        <v>19</v>
      </c>
      <c r="D11" s="6" t="s">
        <v>20</v>
      </c>
      <c r="E11" s="6" t="s">
        <v>21</v>
      </c>
      <c r="F11" s="6" t="s">
        <v>22</v>
      </c>
    </row>
    <row r="12" spans="1:6" ht="15" customHeight="1" x14ac:dyDescent="0.2">
      <c r="A12" s="6" t="s">
        <v>23</v>
      </c>
      <c r="B12" s="7">
        <v>45838</v>
      </c>
      <c r="C12" s="7">
        <v>45473</v>
      </c>
      <c r="D12" s="7">
        <v>45107</v>
      </c>
      <c r="E12" s="7">
        <v>44742</v>
      </c>
      <c r="F12" s="7">
        <v>44377</v>
      </c>
    </row>
    <row r="13" spans="1:6" ht="15" customHeight="1" x14ac:dyDescent="0.2">
      <c r="A13" s="6" t="s">
        <v>24</v>
      </c>
      <c r="B13" s="7">
        <v>45838</v>
      </c>
      <c r="C13" s="7">
        <v>45473</v>
      </c>
      <c r="D13" s="7">
        <v>45107</v>
      </c>
      <c r="E13" s="7">
        <v>44742</v>
      </c>
      <c r="F13" s="7">
        <v>44377</v>
      </c>
    </row>
    <row r="14" spans="1:6" ht="15" customHeight="1" x14ac:dyDescent="0.2">
      <c r="A14" s="6" t="s">
        <v>25</v>
      </c>
      <c r="B14" s="6" t="s">
        <v>26</v>
      </c>
      <c r="C14" s="6" t="s">
        <v>26</v>
      </c>
      <c r="D14" s="6" t="s">
        <v>26</v>
      </c>
      <c r="E14" s="6" t="s">
        <v>26</v>
      </c>
      <c r="F14" s="6" t="s">
        <v>26</v>
      </c>
    </row>
    <row r="15" spans="1:6" ht="15" customHeight="1" x14ac:dyDescent="0.2">
      <c r="A15" s="6" t="s">
        <v>27</v>
      </c>
      <c r="B15" s="6" t="s">
        <v>28</v>
      </c>
      <c r="C15" s="6" t="s">
        <v>28</v>
      </c>
      <c r="D15" s="6" t="s">
        <v>28</v>
      </c>
      <c r="E15" s="6" t="s">
        <v>28</v>
      </c>
      <c r="F15" s="6" t="s">
        <v>28</v>
      </c>
    </row>
    <row r="16" spans="1:6" ht="15" customHeight="1" x14ac:dyDescent="0.2">
      <c r="A16" s="6"/>
      <c r="B16" s="6"/>
      <c r="C16" s="6"/>
      <c r="D16" s="6"/>
      <c r="E16" s="6"/>
      <c r="F16" s="6"/>
    </row>
    <row r="17" spans="1:19" ht="15" customHeight="1" x14ac:dyDescent="0.2">
      <c r="A17" s="5" t="s">
        <v>29</v>
      </c>
      <c r="B17" s="5"/>
      <c r="C17" s="5"/>
      <c r="D17" s="5"/>
      <c r="E17" s="5"/>
      <c r="F17" s="5"/>
    </row>
    <row r="18" spans="1:19" ht="15" customHeight="1" x14ac:dyDescent="0.2">
      <c r="A18" s="8" t="s">
        <v>30</v>
      </c>
      <c r="B18" s="8" t="s">
        <v>31</v>
      </c>
      <c r="C18" s="8" t="s">
        <v>32</v>
      </c>
      <c r="D18" s="8" t="s">
        <v>33</v>
      </c>
      <c r="E18" s="8" t="s">
        <v>34</v>
      </c>
      <c r="F18" s="8" t="s">
        <v>35</v>
      </c>
      <c r="G18" s="9" t="s">
        <v>36</v>
      </c>
      <c r="H18" s="9" t="s">
        <v>37</v>
      </c>
      <c r="I18" s="9" t="s">
        <v>38</v>
      </c>
      <c r="J18" s="9" t="s">
        <v>39</v>
      </c>
      <c r="K18" s="9" t="s">
        <v>40</v>
      </c>
      <c r="L18" s="9" t="s">
        <v>41</v>
      </c>
      <c r="M18" s="9" t="s">
        <v>42</v>
      </c>
      <c r="N18" s="9" t="s">
        <v>43</v>
      </c>
      <c r="O18" s="9" t="s">
        <v>44</v>
      </c>
      <c r="P18" s="9" t="s">
        <v>45</v>
      </c>
      <c r="Q18" s="9" t="s">
        <v>46</v>
      </c>
      <c r="R18" s="9" t="s">
        <v>47</v>
      </c>
      <c r="S18" s="9" t="s">
        <v>48</v>
      </c>
    </row>
    <row r="19" spans="1:19" ht="15" customHeight="1" x14ac:dyDescent="0.2">
      <c r="A19" s="5" t="s">
        <v>49</v>
      </c>
      <c r="B19" s="5"/>
      <c r="C19" s="5"/>
      <c r="D19" s="5"/>
      <c r="E19" s="5"/>
      <c r="F19" s="5"/>
      <c r="M19" s="10"/>
      <c r="N19" s="10"/>
    </row>
    <row r="20" spans="1:19" ht="15" customHeight="1" x14ac:dyDescent="0.2">
      <c r="A20" s="6" t="s">
        <v>50</v>
      </c>
      <c r="B20" s="11">
        <v>45576</v>
      </c>
      <c r="C20" s="11">
        <v>44047</v>
      </c>
      <c r="D20" s="11">
        <v>43417</v>
      </c>
      <c r="E20" s="11">
        <v>36679</v>
      </c>
      <c r="F20" s="11">
        <v>33797</v>
      </c>
      <c r="G20" s="12">
        <f>IFERROR(B20/B25,"")</f>
        <v>0.99728665207877465</v>
      </c>
      <c r="H20" s="13">
        <f t="shared" ref="H20:H25" si="0">IFERROR(AVERAGE(G20,P20,Q20,R20,S20),"")</f>
        <v>0.99649207401828421</v>
      </c>
      <c r="I20" s="14" t="s">
        <v>51</v>
      </c>
      <c r="J20" s="15" t="s">
        <v>52</v>
      </c>
      <c r="K20" s="16">
        <f>ROUND(H20*K25,0)</f>
        <v>49928</v>
      </c>
      <c r="L20" s="16">
        <f>ROUND(H20*L25,0)</f>
        <v>53004</v>
      </c>
      <c r="M20" s="16">
        <f>ROUND(H20*M25,0)</f>
        <v>56081</v>
      </c>
      <c r="N20" s="16">
        <f>ROUND(H20*N25,0)</f>
        <v>59157</v>
      </c>
      <c r="O20" s="16">
        <f>ROUND(H20*O25,0)</f>
        <v>62233</v>
      </c>
      <c r="P20" s="12">
        <f>IFERROR(C20/C25,"")</f>
        <v>0.99678653058453459</v>
      </c>
      <c r="Q20" s="12">
        <f>IFERROR(D20/D25,"")</f>
        <v>0.99694603903559131</v>
      </c>
      <c r="R20" s="12">
        <f>IFERROR(E20/E25,"")</f>
        <v>0.99568380476681684</v>
      </c>
      <c r="S20" s="12">
        <f>IFERROR(F20/F25,"")</f>
        <v>0.99575734362570345</v>
      </c>
    </row>
    <row r="21" spans="1:19" ht="15" customHeight="1" x14ac:dyDescent="0.2">
      <c r="A21" s="6" t="s">
        <v>53</v>
      </c>
      <c r="B21" s="11">
        <v>45576</v>
      </c>
      <c r="C21" s="11">
        <v>44047</v>
      </c>
      <c r="D21" s="11">
        <v>43417</v>
      </c>
      <c r="E21" s="11">
        <v>36679</v>
      </c>
      <c r="F21" s="11">
        <v>33797</v>
      </c>
      <c r="G21" s="12">
        <f>IFERROR(B21/B25,"")</f>
        <v>0.99728665207877465</v>
      </c>
      <c r="H21" s="13">
        <f t="shared" si="0"/>
        <v>0.99649207401828421</v>
      </c>
      <c r="I21" s="14" t="s">
        <v>54</v>
      </c>
      <c r="J21" s="15" t="s">
        <v>55</v>
      </c>
      <c r="K21" s="16">
        <f>K20</f>
        <v>49928</v>
      </c>
      <c r="L21" s="16">
        <f>L20</f>
        <v>53004</v>
      </c>
      <c r="M21" s="16">
        <f>M20</f>
        <v>56081</v>
      </c>
      <c r="N21" s="16">
        <f>N20</f>
        <v>59157</v>
      </c>
      <c r="O21" s="16">
        <f>O20</f>
        <v>62233</v>
      </c>
      <c r="P21" s="12">
        <f>IFERROR(C21/C25,"")</f>
        <v>0.99678653058453459</v>
      </c>
      <c r="Q21" s="12">
        <f>IFERROR(D21/D25,"")</f>
        <v>0.99694603903559131</v>
      </c>
      <c r="R21" s="12">
        <f>IFERROR(E21/E25,"")</f>
        <v>0.99568380476681684</v>
      </c>
      <c r="S21" s="12">
        <f>IFERROR(F21/F25,"")</f>
        <v>0.99575734362570345</v>
      </c>
    </row>
    <row r="22" spans="1:19" ht="15" customHeight="1" x14ac:dyDescent="0.2">
      <c r="A22" s="6" t="s">
        <v>56</v>
      </c>
      <c r="B22" s="11">
        <v>38</v>
      </c>
      <c r="C22" s="11">
        <v>47</v>
      </c>
      <c r="D22" s="11">
        <v>41</v>
      </c>
      <c r="E22" s="11">
        <v>59</v>
      </c>
      <c r="F22" s="11">
        <v>51</v>
      </c>
      <c r="G22" s="12">
        <f>IFERROR(B22/B25,"")</f>
        <v>8.3150984682713351E-4</v>
      </c>
      <c r="H22" s="13">
        <f t="shared" si="0"/>
        <v>1.1881568156822558E-3</v>
      </c>
      <c r="I22" s="14" t="s">
        <v>51</v>
      </c>
      <c r="J22" s="15" t="s">
        <v>57</v>
      </c>
      <c r="K22" s="16">
        <f>ROUND(H22*K25,0)</f>
        <v>60</v>
      </c>
      <c r="L22" s="16">
        <f>ROUND(H22*L25,0)</f>
        <v>63</v>
      </c>
      <c r="M22" s="16">
        <f>ROUND(H22*M25,0)</f>
        <v>67</v>
      </c>
      <c r="N22" s="16">
        <f>ROUND(H22*N25,0)</f>
        <v>71</v>
      </c>
      <c r="O22" s="16">
        <f>ROUND(H22*O25,0)</f>
        <v>74</v>
      </c>
      <c r="P22" s="12">
        <f>IFERROR(C22/C25,"")</f>
        <v>1.063613116386431E-3</v>
      </c>
      <c r="Q22" s="12">
        <f>IFERROR(D22/D25,"")</f>
        <v>9.4144661308840413E-4</v>
      </c>
      <c r="R22" s="12">
        <f>IFERROR(E22/E25,"")</f>
        <v>1.6016070362126066E-3</v>
      </c>
      <c r="S22" s="12">
        <f>IFERROR(F22/F25,"")</f>
        <v>1.5026074658967031E-3</v>
      </c>
    </row>
    <row r="23" spans="1:19" ht="15" customHeight="1" x14ac:dyDescent="0.2">
      <c r="A23" s="6" t="s">
        <v>58</v>
      </c>
      <c r="B23" s="11">
        <v>38</v>
      </c>
      <c r="C23" s="11">
        <v>47</v>
      </c>
      <c r="D23" s="11">
        <v>41</v>
      </c>
      <c r="E23" s="11">
        <v>59</v>
      </c>
      <c r="F23" s="11">
        <v>51</v>
      </c>
      <c r="G23" s="12">
        <f>IFERROR(B23/B25,"")</f>
        <v>8.3150984682713351E-4</v>
      </c>
      <c r="H23" s="13">
        <f t="shared" si="0"/>
        <v>1.1881568156822558E-3</v>
      </c>
      <c r="I23" s="14" t="s">
        <v>59</v>
      </c>
      <c r="J23" s="15" t="s">
        <v>60</v>
      </c>
      <c r="K23" s="16">
        <f>K22</f>
        <v>60</v>
      </c>
      <c r="L23" s="16">
        <f>L22</f>
        <v>63</v>
      </c>
      <c r="M23" s="16">
        <f>M22</f>
        <v>67</v>
      </c>
      <c r="N23" s="16">
        <f>N22</f>
        <v>71</v>
      </c>
      <c r="O23" s="16">
        <f>O22</f>
        <v>74</v>
      </c>
      <c r="P23" s="12">
        <f>IFERROR(C23/C25,"")</f>
        <v>1.063613116386431E-3</v>
      </c>
      <c r="Q23" s="12">
        <f>IFERROR(D23/D25,"")</f>
        <v>9.4144661308840413E-4</v>
      </c>
      <c r="R23" s="12">
        <f>IFERROR(E23/E25,"")</f>
        <v>1.6016070362126066E-3</v>
      </c>
      <c r="S23" s="12">
        <f>IFERROR(F23/F25,"")</f>
        <v>1.5026074658967031E-3</v>
      </c>
    </row>
    <row r="24" spans="1:19" ht="15" customHeight="1" x14ac:dyDescent="0.2">
      <c r="A24" s="6" t="s">
        <v>61</v>
      </c>
      <c r="B24" s="11">
        <v>86</v>
      </c>
      <c r="C24" s="11">
        <v>95</v>
      </c>
      <c r="D24" s="11">
        <v>92</v>
      </c>
      <c r="E24" s="11">
        <v>100</v>
      </c>
      <c r="F24" s="11">
        <v>93</v>
      </c>
      <c r="G24" s="12">
        <f>IFERROR(B24/B25,"")</f>
        <v>1.8818380743982495E-3</v>
      </c>
      <c r="H24" s="13">
        <f t="shared" si="0"/>
        <v>2.3197691660335833E-3</v>
      </c>
      <c r="I24" s="14" t="s">
        <v>51</v>
      </c>
      <c r="J24" s="15" t="s">
        <v>62</v>
      </c>
      <c r="K24" s="16">
        <f>ROUND(H24*K25,0)</f>
        <v>116</v>
      </c>
      <c r="L24" s="16">
        <f>ROUND(H24*L25,0)</f>
        <v>123</v>
      </c>
      <c r="M24" s="16">
        <f>ROUND(H24*M25,0)</f>
        <v>131</v>
      </c>
      <c r="N24" s="16">
        <f>ROUND(H24*N25,0)</f>
        <v>138</v>
      </c>
      <c r="O24" s="16">
        <f>ROUND(H24*O25,0)</f>
        <v>145</v>
      </c>
      <c r="P24" s="12">
        <f>IFERROR(C24/C25,"")</f>
        <v>2.1498562990789564E-3</v>
      </c>
      <c r="Q24" s="12">
        <f>IFERROR(D24/D25,"")</f>
        <v>2.1125143513203216E-3</v>
      </c>
      <c r="R24" s="12">
        <f>IFERROR(E24/E25,"")</f>
        <v>2.7145881969705197E-3</v>
      </c>
      <c r="S24" s="12">
        <f>IFERROR(F24/F25,"")</f>
        <v>2.7400489083998702E-3</v>
      </c>
    </row>
    <row r="25" spans="1:19" ht="15" customHeight="1" x14ac:dyDescent="0.2">
      <c r="A25" s="17" t="s">
        <v>63</v>
      </c>
      <c r="B25" s="18">
        <f>B20+B22+B24</f>
        <v>45700</v>
      </c>
      <c r="C25" s="18">
        <f>C20+C22+C24</f>
        <v>44189</v>
      </c>
      <c r="D25" s="18">
        <f>D20+D22+D24</f>
        <v>43550</v>
      </c>
      <c r="E25" s="18">
        <f>E20+E22+E24</f>
        <v>36838</v>
      </c>
      <c r="F25" s="18">
        <f>F20+F22+F24</f>
        <v>33941</v>
      </c>
      <c r="G25" s="12">
        <f>IFERROR(B25/B25,"")</f>
        <v>1</v>
      </c>
      <c r="H25" s="13">
        <f t="shared" si="0"/>
        <v>1</v>
      </c>
      <c r="I25" s="14" t="s">
        <v>64</v>
      </c>
      <c r="J25" s="15" t="s">
        <v>65</v>
      </c>
      <c r="K25" s="19">
        <v>50104</v>
      </c>
      <c r="L25" s="19">
        <v>53191</v>
      </c>
      <c r="M25" s="19">
        <v>56278</v>
      </c>
      <c r="N25" s="19">
        <v>59365</v>
      </c>
      <c r="O25" s="19">
        <v>62452</v>
      </c>
      <c r="P25" s="12">
        <f>IFERROR(C25/C25,"")</f>
        <v>1</v>
      </c>
      <c r="Q25" s="12">
        <f>IFERROR(D25/D25,"")</f>
        <v>1</v>
      </c>
      <c r="R25" s="12">
        <f>IFERROR(E25/E25,"")</f>
        <v>1</v>
      </c>
      <c r="S25" s="12">
        <f>IFERROR(F25/F25,"")</f>
        <v>1</v>
      </c>
    </row>
    <row r="26" spans="1:19" ht="15" customHeight="1" x14ac:dyDescent="0.2">
      <c r="A26" s="5" t="s">
        <v>66</v>
      </c>
      <c r="B26" s="5"/>
      <c r="C26" s="5"/>
      <c r="D26" s="5"/>
      <c r="E26" s="5"/>
      <c r="F26" s="5"/>
      <c r="M26" s="10"/>
      <c r="N26" s="10"/>
    </row>
    <row r="27" spans="1:19" ht="15" customHeight="1" x14ac:dyDescent="0.2">
      <c r="A27" s="6" t="s">
        <v>67</v>
      </c>
      <c r="B27" s="11">
        <v>31772</v>
      </c>
      <c r="C27" s="11">
        <v>30628</v>
      </c>
      <c r="D27" s="11">
        <v>30606</v>
      </c>
      <c r="E27" s="11">
        <v>25013</v>
      </c>
      <c r="F27" s="11">
        <v>22386</v>
      </c>
      <c r="G27" s="12">
        <f>IFERROR(B27/B25,"")</f>
        <v>0.69522975929978115</v>
      </c>
      <c r="H27" s="13">
        <f t="shared" ref="H27:H45" si="1">IFERROR(AVERAGE(G27,P27,Q27,R27,S27),"")</f>
        <v>0.6859356160598995</v>
      </c>
      <c r="I27" s="14" t="s">
        <v>51</v>
      </c>
      <c r="J27" s="15" t="s">
        <v>68</v>
      </c>
      <c r="K27" s="16">
        <f>ROUND(H27*K25,0)</f>
        <v>34368</v>
      </c>
      <c r="L27" s="16">
        <f>ROUND(H27*L25,0)</f>
        <v>36486</v>
      </c>
      <c r="M27" s="16">
        <f>ROUND(H27*M25,0)</f>
        <v>38603</v>
      </c>
      <c r="N27" s="16">
        <f>ROUND(H27*N25,0)</f>
        <v>40721</v>
      </c>
      <c r="O27" s="16">
        <f>ROUND(H27*O25,0)</f>
        <v>42838</v>
      </c>
      <c r="P27" s="12">
        <f>IFERROR(C27/C25,"")</f>
        <v>0.69311367082305553</v>
      </c>
      <c r="Q27" s="12">
        <f>IFERROR(D27/D25,"")</f>
        <v>0.70277841561423648</v>
      </c>
      <c r="R27" s="12">
        <f>IFERROR(E27/E25,"")</f>
        <v>0.67899994570823607</v>
      </c>
      <c r="S27" s="12">
        <f>IFERROR(F27/F25,"")</f>
        <v>0.65955628885418816</v>
      </c>
    </row>
    <row r="28" spans="1:19" ht="15" customHeight="1" x14ac:dyDescent="0.2">
      <c r="A28" s="17" t="s">
        <v>69</v>
      </c>
      <c r="B28" s="18">
        <f>B27</f>
        <v>31772</v>
      </c>
      <c r="C28" s="18">
        <f>C27</f>
        <v>30628</v>
      </c>
      <c r="D28" s="18">
        <f>D27</f>
        <v>30606</v>
      </c>
      <c r="E28" s="18">
        <f>E27</f>
        <v>25013</v>
      </c>
      <c r="F28" s="18">
        <f>F27</f>
        <v>22386</v>
      </c>
      <c r="G28" s="12">
        <f>IFERROR(B28/B25,"")</f>
        <v>0.69522975929978115</v>
      </c>
      <c r="H28" s="13">
        <f t="shared" si="1"/>
        <v>0.6859356160598995</v>
      </c>
      <c r="I28" s="14" t="s">
        <v>70</v>
      </c>
      <c r="J28" s="15" t="s">
        <v>71</v>
      </c>
      <c r="K28" s="16">
        <f>K27</f>
        <v>34368</v>
      </c>
      <c r="L28" s="16">
        <f>L27</f>
        <v>36486</v>
      </c>
      <c r="M28" s="16">
        <f>M27</f>
        <v>38603</v>
      </c>
      <c r="N28" s="16">
        <f>N27</f>
        <v>40721</v>
      </c>
      <c r="O28" s="16">
        <f>O27</f>
        <v>42838</v>
      </c>
      <c r="P28" s="12">
        <f>IFERROR(C28/C25,"")</f>
        <v>0.69311367082305553</v>
      </c>
      <c r="Q28" s="12">
        <f>IFERROR(D28/D25,"")</f>
        <v>0.70277841561423648</v>
      </c>
      <c r="R28" s="12">
        <f>IFERROR(E28/E25,"")</f>
        <v>0.67899994570823607</v>
      </c>
      <c r="S28" s="12">
        <f>IFERROR(F28/F25,"")</f>
        <v>0.65955628885418816</v>
      </c>
    </row>
    <row r="29" spans="1:19" ht="15" customHeight="1" x14ac:dyDescent="0.2">
      <c r="A29" s="6" t="s">
        <v>72</v>
      </c>
      <c r="B29" s="11">
        <v>125</v>
      </c>
      <c r="C29" s="11">
        <v>128</v>
      </c>
      <c r="D29" s="11">
        <v>191</v>
      </c>
      <c r="E29" s="11">
        <v>158</v>
      </c>
      <c r="F29" s="11">
        <v>144</v>
      </c>
      <c r="G29" s="12">
        <f>IFERROR(B29/B25,"")</f>
        <v>2.7352297592997811E-3</v>
      </c>
      <c r="H29" s="13">
        <f t="shared" si="1"/>
        <v>3.709869492446189E-3</v>
      </c>
      <c r="I29" s="14" t="s">
        <v>51</v>
      </c>
      <c r="J29" s="15" t="s">
        <v>73</v>
      </c>
      <c r="K29" s="16">
        <f>ROUND(H29*K25,0)</f>
        <v>186</v>
      </c>
      <c r="L29" s="16">
        <f>ROUND(H29*L25,0)</f>
        <v>197</v>
      </c>
      <c r="M29" s="16">
        <f>ROUND(H29*M25,0)</f>
        <v>209</v>
      </c>
      <c r="N29" s="16">
        <f>ROUND(H29*N25,0)</f>
        <v>220</v>
      </c>
      <c r="O29" s="16">
        <f>ROUND(H29*O25,0)</f>
        <v>232</v>
      </c>
      <c r="P29" s="12">
        <f>IFERROR(C29/C25,"")</f>
        <v>2.8966484871800675E-3</v>
      </c>
      <c r="Q29" s="12">
        <f>IFERROR(D29/D25,"")</f>
        <v>4.385763490241102E-3</v>
      </c>
      <c r="R29" s="12">
        <f>IFERROR(E29/E25,"")</f>
        <v>4.2890493512134208E-3</v>
      </c>
      <c r="S29" s="12">
        <f>IFERROR(F29/F25,"")</f>
        <v>4.2426563742965738E-3</v>
      </c>
    </row>
    <row r="30" spans="1:19" ht="15" customHeight="1" x14ac:dyDescent="0.2">
      <c r="A30" s="6" t="s">
        <v>74</v>
      </c>
      <c r="B30" s="11">
        <v>1708</v>
      </c>
      <c r="C30" s="11">
        <v>1672</v>
      </c>
      <c r="D30" s="11">
        <v>1510</v>
      </c>
      <c r="E30" s="11">
        <v>1417</v>
      </c>
      <c r="F30" s="11">
        <v>1365</v>
      </c>
      <c r="G30" s="12">
        <f>IFERROR(B30/B25,"")</f>
        <v>3.7374179431072213E-2</v>
      </c>
      <c r="H30" s="13">
        <f t="shared" si="1"/>
        <v>3.7713400364791511E-2</v>
      </c>
      <c r="I30" s="14" t="s">
        <v>75</v>
      </c>
      <c r="J30" s="15" t="s">
        <v>76</v>
      </c>
      <c r="K30" s="20">
        <f>ROUND(0.1453*'Balance Sheet'!G41,0)</f>
        <v>1604</v>
      </c>
      <c r="L30" s="20">
        <f>ROUND(0.1453*'Balance Sheet'!T41,0)</f>
        <v>1671</v>
      </c>
      <c r="M30" s="20">
        <f>ROUND(0.1453*'Balance Sheet'!U41,0)</f>
        <v>1747</v>
      </c>
      <c r="N30" s="20">
        <f>ROUND(0.1453*'Balance Sheet'!V41,0)</f>
        <v>1830</v>
      </c>
      <c r="O30" s="20">
        <f>ROUND(0.1453*'Balance Sheet'!W41,0)</f>
        <v>1919</v>
      </c>
      <c r="P30" s="12">
        <f>IFERROR(C30/C25,"")</f>
        <v>3.7837470863789628E-2</v>
      </c>
      <c r="Q30" s="12">
        <f>IFERROR(D30/D25,"")</f>
        <v>3.467278989667049E-2</v>
      </c>
      <c r="R30" s="12">
        <f>IFERROR(E30/E25,"")</f>
        <v>3.8465714751072265E-2</v>
      </c>
      <c r="S30" s="12">
        <f>IFERROR(F30/F25,"")</f>
        <v>4.0216846881352936E-2</v>
      </c>
    </row>
    <row r="31" spans="1:19" ht="15" customHeight="1" x14ac:dyDescent="0.2">
      <c r="A31" s="6" t="s">
        <v>77</v>
      </c>
      <c r="B31" s="11">
        <v>29939</v>
      </c>
      <c r="C31" s="11">
        <v>28828</v>
      </c>
      <c r="D31" s="11">
        <v>28905</v>
      </c>
      <c r="E31" s="11">
        <v>23438</v>
      </c>
      <c r="F31" s="11">
        <v>20877</v>
      </c>
      <c r="G31" s="12">
        <f>IFERROR(B31/B25,"")</f>
        <v>0.65512035010940917</v>
      </c>
      <c r="H31" s="13">
        <f t="shared" si="1"/>
        <v>0.64451234620266173</v>
      </c>
      <c r="I31" s="14" t="s">
        <v>51</v>
      </c>
      <c r="J31" s="15" t="s">
        <v>78</v>
      </c>
      <c r="K31" s="16">
        <f>ROUND(H31*K25,0)</f>
        <v>32293</v>
      </c>
      <c r="L31" s="16">
        <f>ROUND(H31*L25,0)</f>
        <v>34282</v>
      </c>
      <c r="M31" s="16">
        <f>ROUND(H31*M25,0)</f>
        <v>36272</v>
      </c>
      <c r="N31" s="16">
        <f>ROUND(H31*N25,0)</f>
        <v>38261</v>
      </c>
      <c r="O31" s="16">
        <f>ROUND(H31*O25,0)</f>
        <v>40251</v>
      </c>
      <c r="P31" s="12">
        <f>IFERROR(C31/C25,"")</f>
        <v>0.65237955147208582</v>
      </c>
      <c r="Q31" s="12">
        <f>IFERROR(D31/D25,"")</f>
        <v>0.66371986222732493</v>
      </c>
      <c r="R31" s="12">
        <f>IFERROR(E31/E25,"")</f>
        <v>0.63624518160595034</v>
      </c>
      <c r="S31" s="12">
        <f>IFERROR(F31/F25,"")</f>
        <v>0.61509678559853864</v>
      </c>
    </row>
    <row r="32" spans="1:19" ht="15" customHeight="1" x14ac:dyDescent="0.2">
      <c r="A32" s="6" t="s">
        <v>79</v>
      </c>
      <c r="B32" s="11">
        <v>29939</v>
      </c>
      <c r="C32" s="11">
        <v>28828</v>
      </c>
      <c r="D32" s="11">
        <v>28905</v>
      </c>
      <c r="E32" s="11">
        <v>23438</v>
      </c>
      <c r="F32" s="11">
        <v>20877</v>
      </c>
      <c r="G32" s="12">
        <f>IFERROR(B32/B25,"")</f>
        <v>0.65512035010940917</v>
      </c>
      <c r="H32" s="13">
        <f t="shared" si="1"/>
        <v>0.64451234620266173</v>
      </c>
      <c r="I32" s="14" t="s">
        <v>80</v>
      </c>
      <c r="J32" s="15" t="s">
        <v>81</v>
      </c>
      <c r="K32" s="16">
        <f>K31</f>
        <v>32293</v>
      </c>
      <c r="L32" s="16">
        <f>L31</f>
        <v>34282</v>
      </c>
      <c r="M32" s="16">
        <f>M31</f>
        <v>36272</v>
      </c>
      <c r="N32" s="16">
        <f>N31</f>
        <v>38261</v>
      </c>
      <c r="O32" s="16">
        <f>O31</f>
        <v>40251</v>
      </c>
      <c r="P32" s="12">
        <f>IFERROR(C32/C25,"")</f>
        <v>0.65237955147208582</v>
      </c>
      <c r="Q32" s="12">
        <f>IFERROR(D32/D25,"")</f>
        <v>0.66371986222732493</v>
      </c>
      <c r="R32" s="12">
        <f>IFERROR(E32/E25,"")</f>
        <v>0.63624518160595034</v>
      </c>
      <c r="S32" s="12">
        <f>IFERROR(F32/F25,"")</f>
        <v>0.61509678559853864</v>
      </c>
    </row>
    <row r="33" spans="1:19" ht="15" customHeight="1" x14ac:dyDescent="0.2">
      <c r="A33" s="17" t="s">
        <v>82</v>
      </c>
      <c r="B33" s="18">
        <f>B25-B28</f>
        <v>13928</v>
      </c>
      <c r="C33" s="18">
        <f>C25-C28</f>
        <v>13561</v>
      </c>
      <c r="D33" s="18">
        <f>D25-D28</f>
        <v>12944</v>
      </c>
      <c r="E33" s="18">
        <f>E25-E28</f>
        <v>11825</v>
      </c>
      <c r="F33" s="18">
        <f>F25-F28</f>
        <v>11555</v>
      </c>
      <c r="G33" s="12">
        <f>IFERROR(B33/B25,"")</f>
        <v>0.3047702407002188</v>
      </c>
      <c r="H33" s="13">
        <f t="shared" si="1"/>
        <v>0.3140643839401005</v>
      </c>
      <c r="I33" s="14" t="s">
        <v>83</v>
      </c>
      <c r="J33" s="15" t="s">
        <v>84</v>
      </c>
      <c r="K33" s="18">
        <f>K25-K28</f>
        <v>15736</v>
      </c>
      <c r="L33" s="18">
        <f>L25-L28</f>
        <v>16705</v>
      </c>
      <c r="M33" s="18">
        <f>M25-M28</f>
        <v>17675</v>
      </c>
      <c r="N33" s="18">
        <f>N25-N28</f>
        <v>18644</v>
      </c>
      <c r="O33" s="18">
        <f>O25-O28</f>
        <v>19614</v>
      </c>
      <c r="P33" s="12">
        <f>IFERROR(C33/C25,"")</f>
        <v>0.30688632917694447</v>
      </c>
      <c r="Q33" s="12">
        <f>IFERROR(D33/D25,"")</f>
        <v>0.29722158438576352</v>
      </c>
      <c r="R33" s="12">
        <f>IFERROR(E33/E25,"")</f>
        <v>0.32100005429176393</v>
      </c>
      <c r="S33" s="12">
        <f>IFERROR(F33/F25,"")</f>
        <v>0.34044371114581184</v>
      </c>
    </row>
    <row r="34" spans="1:19" ht="15" customHeight="1" x14ac:dyDescent="0.2">
      <c r="A34" s="17" t="s">
        <v>85</v>
      </c>
      <c r="B34" s="18">
        <f>B35+B36+B37+B38</f>
        <v>8886</v>
      </c>
      <c r="C34" s="18">
        <f>C35+C36+C37+C38</f>
        <v>8191</v>
      </c>
      <c r="D34" s="18">
        <f>D35+D36+D37+D38</f>
        <v>7879</v>
      </c>
      <c r="E34" s="18">
        <f>E35+E36+E37+E38</f>
        <v>7230</v>
      </c>
      <c r="F34" s="18">
        <f>F35+F36+F37+F38</f>
        <v>6764</v>
      </c>
      <c r="G34" s="12">
        <f>IFERROR(B34/B25,"")</f>
        <v>0.19444201312910284</v>
      </c>
      <c r="H34" s="13">
        <f t="shared" si="1"/>
        <v>0.19125501908196998</v>
      </c>
      <c r="I34" s="14" t="s">
        <v>51</v>
      </c>
      <c r="J34" s="15" t="s">
        <v>86</v>
      </c>
      <c r="K34" s="16">
        <f>ROUND(H34*K25,0)</f>
        <v>9583</v>
      </c>
      <c r="L34" s="16">
        <f>ROUND(H34*L25,0)</f>
        <v>10173</v>
      </c>
      <c r="M34" s="16">
        <f>ROUND(H34*M25,0)</f>
        <v>10763</v>
      </c>
      <c r="N34" s="16">
        <f>ROUND(H34*N25,0)</f>
        <v>11354</v>
      </c>
      <c r="O34" s="16">
        <f>ROUND(H34*O25,0)</f>
        <v>11944</v>
      </c>
      <c r="P34" s="12">
        <f>IFERROR(C34/C25,"")</f>
        <v>0.18536287311321822</v>
      </c>
      <c r="Q34" s="12">
        <f>IFERROR(D34/D25,"")</f>
        <v>0.18091848450057404</v>
      </c>
      <c r="R34" s="12">
        <f>IFERROR(E34/E25,"")</f>
        <v>0.19626472664096856</v>
      </c>
      <c r="S34" s="12">
        <f>IFERROR(F34/F25,"")</f>
        <v>0.19928699802598626</v>
      </c>
    </row>
    <row r="35" spans="1:19" ht="15" customHeight="1" x14ac:dyDescent="0.2">
      <c r="A35" s="6" t="s">
        <v>87</v>
      </c>
      <c r="B35" s="11">
        <v>840</v>
      </c>
      <c r="C35" s="11">
        <v>687</v>
      </c>
      <c r="D35" s="11">
        <v>704</v>
      </c>
      <c r="E35" s="11">
        <v>668</v>
      </c>
      <c r="F35" s="11">
        <v>540</v>
      </c>
      <c r="G35" s="12">
        <f>IFERROR(B35/B25,"")</f>
        <v>1.8380743982494528E-2</v>
      </c>
      <c r="H35" s="13">
        <f t="shared" si="1"/>
        <v>1.6827267460851968E-2</v>
      </c>
      <c r="I35" s="14" t="s">
        <v>51</v>
      </c>
      <c r="J35" s="15" t="s">
        <v>88</v>
      </c>
      <c r="K35" s="16">
        <f>ROUND(H35*K25,0)</f>
        <v>843</v>
      </c>
      <c r="L35" s="16">
        <f>ROUND(H35*L25,0)</f>
        <v>895</v>
      </c>
      <c r="M35" s="16">
        <f>ROUND(H35*M25,0)</f>
        <v>947</v>
      </c>
      <c r="N35" s="16">
        <f>ROUND(H35*N25,0)</f>
        <v>999</v>
      </c>
      <c r="O35" s="16">
        <f>ROUND(H35*O25,0)</f>
        <v>1051</v>
      </c>
      <c r="P35" s="12">
        <f>IFERROR(C35/C25,"")</f>
        <v>1.5546855552286768E-2</v>
      </c>
      <c r="Q35" s="12">
        <f>IFERROR(D35/D25,"")</f>
        <v>1.6165327210103331E-2</v>
      </c>
      <c r="R35" s="12">
        <f>IFERROR(E35/E25,"")</f>
        <v>1.8133449155763072E-2</v>
      </c>
      <c r="S35" s="12">
        <f>IFERROR(F35/F25,"")</f>
        <v>1.5909961403612151E-2</v>
      </c>
    </row>
    <row r="36" spans="1:19" ht="15" customHeight="1" x14ac:dyDescent="0.2">
      <c r="A36" s="6" t="s">
        <v>89</v>
      </c>
      <c r="B36" s="11">
        <v>6842</v>
      </c>
      <c r="C36" s="11">
        <v>6639</v>
      </c>
      <c r="D36" s="11">
        <v>6333</v>
      </c>
      <c r="E36" s="11">
        <v>5840</v>
      </c>
      <c r="F36" s="11">
        <v>5500</v>
      </c>
      <c r="G36" s="12">
        <f>IFERROR(B36/B25,"")</f>
        <v>0.14971553610503283</v>
      </c>
      <c r="H36" s="13">
        <f t="shared" si="1"/>
        <v>0.1531906917505193</v>
      </c>
      <c r="I36" s="14" t="s">
        <v>51</v>
      </c>
      <c r="J36" s="15" t="s">
        <v>90</v>
      </c>
      <c r="K36" s="16">
        <f>ROUND(H36*K25,0)</f>
        <v>7675</v>
      </c>
      <c r="L36" s="16">
        <f>ROUND(H36*L25,0)</f>
        <v>8148</v>
      </c>
      <c r="M36" s="16">
        <f>ROUND(H36*M25,0)</f>
        <v>8621</v>
      </c>
      <c r="N36" s="16">
        <f>ROUND(H36*N25,0)</f>
        <v>9094</v>
      </c>
      <c r="O36" s="16">
        <f>ROUND(H36*O25,0)</f>
        <v>9567</v>
      </c>
      <c r="P36" s="12">
        <f>IFERROR(C36/C25,"")</f>
        <v>0.1502410102061599</v>
      </c>
      <c r="Q36" s="12">
        <f>IFERROR(D36/D25,"")</f>
        <v>0.14541905855338691</v>
      </c>
      <c r="R36" s="12">
        <f>IFERROR(E36/E25,"")</f>
        <v>0.15853195070307835</v>
      </c>
      <c r="S36" s="12">
        <f>IFERROR(F36/F25,"")</f>
        <v>0.16204590318493858</v>
      </c>
    </row>
    <row r="37" spans="1:19" ht="15" customHeight="1" x14ac:dyDescent="0.2">
      <c r="A37" s="6" t="s">
        <v>91</v>
      </c>
      <c r="B37" s="11">
        <v>638</v>
      </c>
      <c r="C37" s="11">
        <v>319</v>
      </c>
      <c r="D37" s="11">
        <v>315</v>
      </c>
      <c r="E37" s="11">
        <v>268</v>
      </c>
      <c r="F37" s="11">
        <v>247</v>
      </c>
      <c r="G37" s="12">
        <f>IFERROR(B37/B25,"")</f>
        <v>1.3960612691466083E-2</v>
      </c>
      <c r="H37" s="13">
        <f t="shared" si="1"/>
        <v>8.5930199701179932E-3</v>
      </c>
      <c r="I37" s="14" t="s">
        <v>51</v>
      </c>
      <c r="J37" s="15" t="s">
        <v>92</v>
      </c>
      <c r="K37" s="16">
        <f>ROUND(H37*K25,0)</f>
        <v>431</v>
      </c>
      <c r="L37" s="16">
        <f>ROUND(H37*L25,0)</f>
        <v>457</v>
      </c>
      <c r="M37" s="16">
        <f>ROUND(H37*M25,0)</f>
        <v>484</v>
      </c>
      <c r="N37" s="16">
        <f>ROUND(H37*N25,0)</f>
        <v>510</v>
      </c>
      <c r="O37" s="16">
        <f>ROUND(H37*O25,0)</f>
        <v>537</v>
      </c>
      <c r="P37" s="12">
        <f>IFERROR(C37/C25,"")</f>
        <v>7.2189911516440742E-3</v>
      </c>
      <c r="Q37" s="12">
        <f>IFERROR(D37/D25,"")</f>
        <v>7.2330654420206661E-3</v>
      </c>
      <c r="R37" s="12">
        <f>IFERROR(E37/E25,"")</f>
        <v>7.2750963678809922E-3</v>
      </c>
      <c r="S37" s="12">
        <f>IFERROR(F37/F25,"")</f>
        <v>7.2773341975781499E-3</v>
      </c>
    </row>
    <row r="38" spans="1:19" ht="15" customHeight="1" x14ac:dyDescent="0.2">
      <c r="A38" s="6" t="s">
        <v>93</v>
      </c>
      <c r="B38" s="11">
        <v>566</v>
      </c>
      <c r="C38" s="11">
        <v>546</v>
      </c>
      <c r="D38" s="11">
        <v>527</v>
      </c>
      <c r="E38" s="11">
        <v>454</v>
      </c>
      <c r="F38" s="11">
        <v>477</v>
      </c>
      <c r="G38" s="12">
        <f>IFERROR(B38/B25,"")</f>
        <v>1.238512035010941E-2</v>
      </c>
      <c r="H38" s="13">
        <f t="shared" si="1"/>
        <v>1.2644039900480717E-2</v>
      </c>
      <c r="I38" s="14" t="s">
        <v>51</v>
      </c>
      <c r="J38" s="15" t="s">
        <v>94</v>
      </c>
      <c r="K38" s="16">
        <f>ROUND(H38*K25,0)</f>
        <v>634</v>
      </c>
      <c r="L38" s="16">
        <f>ROUND(H38*L25,0)</f>
        <v>673</v>
      </c>
      <c r="M38" s="16">
        <f>ROUND(H38*M25,0)</f>
        <v>712</v>
      </c>
      <c r="N38" s="16">
        <f>ROUND(H38*N25,0)</f>
        <v>751</v>
      </c>
      <c r="O38" s="16">
        <f>ROUND(H38*O25,0)</f>
        <v>790</v>
      </c>
      <c r="P38" s="12">
        <f>IFERROR(C38/C25,"")</f>
        <v>1.2356016203127476E-2</v>
      </c>
      <c r="Q38" s="12">
        <f>IFERROR(D38/D25,"")</f>
        <v>1.2101033295063146E-2</v>
      </c>
      <c r="R38" s="12">
        <f>IFERROR(E38/E25,"")</f>
        <v>1.2324230414246158E-2</v>
      </c>
      <c r="S38" s="12">
        <f>IFERROR(F38/F25,"")</f>
        <v>1.40537992398574E-2</v>
      </c>
    </row>
    <row r="39" spans="1:19" ht="15" customHeight="1" x14ac:dyDescent="0.2">
      <c r="A39" s="6" t="s">
        <v>95</v>
      </c>
      <c r="B39" s="11">
        <v>48</v>
      </c>
      <c r="C39" s="11">
        <v>41</v>
      </c>
      <c r="D39" s="11">
        <v>35</v>
      </c>
      <c r="E39" s="11">
        <v>58</v>
      </c>
      <c r="F39" s="6"/>
      <c r="G39" s="12">
        <f>IFERROR(B39/B25,"")</f>
        <v>1.0503282275711159E-3</v>
      </c>
      <c r="H39" s="13">
        <f t="shared" si="1"/>
        <v>8.712592076732358E-4</v>
      </c>
      <c r="I39" s="14" t="s">
        <v>51</v>
      </c>
      <c r="J39" s="15" t="s">
        <v>96</v>
      </c>
      <c r="K39" s="16">
        <f>ROUND(H39*K25,0)</f>
        <v>44</v>
      </c>
      <c r="L39" s="16">
        <f>ROUND(H39*L25,0)</f>
        <v>46</v>
      </c>
      <c r="M39" s="16">
        <f>ROUND(H39*M25,0)</f>
        <v>49</v>
      </c>
      <c r="N39" s="16">
        <f>ROUND(H39*N25,0)</f>
        <v>52</v>
      </c>
      <c r="O39" s="16">
        <f>ROUND(H39*O25,0)</f>
        <v>54</v>
      </c>
      <c r="P39" s="12">
        <f>IFERROR(C39/C25,"")</f>
        <v>9.278327185498654E-4</v>
      </c>
      <c r="Q39" s="12">
        <f>IFERROR(D39/D25,"")</f>
        <v>8.0367393800229625E-4</v>
      </c>
      <c r="R39" s="12">
        <f>IFERROR(E39/E25,"")</f>
        <v>1.5744611542429013E-3</v>
      </c>
      <c r="S39" s="12">
        <f>IFERROR(F39/F25,"")</f>
        <v>0</v>
      </c>
    </row>
    <row r="40" spans="1:19" ht="15" customHeight="1" x14ac:dyDescent="0.2">
      <c r="A40" s="6" t="s">
        <v>97</v>
      </c>
      <c r="B40" s="11">
        <v>513</v>
      </c>
      <c r="C40" s="11">
        <v>500</v>
      </c>
      <c r="D40" s="11">
        <v>470</v>
      </c>
      <c r="E40" s="11">
        <v>384</v>
      </c>
      <c r="F40" s="11">
        <v>461</v>
      </c>
      <c r="G40" s="12">
        <f>IFERROR(B40/B25,"")</f>
        <v>1.1225382932166302E-2</v>
      </c>
      <c r="H40" s="13">
        <f t="shared" si="1"/>
        <v>1.1467804123874405E-2</v>
      </c>
      <c r="I40" s="14" t="s">
        <v>51</v>
      </c>
      <c r="J40" s="15" t="s">
        <v>98</v>
      </c>
      <c r="K40" s="16">
        <f>ROUND(H40*K25,0)</f>
        <v>575</v>
      </c>
      <c r="L40" s="16">
        <f>ROUND(H40*L25,0)</f>
        <v>610</v>
      </c>
      <c r="M40" s="16">
        <f>ROUND(H40*M25,0)</f>
        <v>645</v>
      </c>
      <c r="N40" s="16">
        <f>ROUND(H40*N25,0)</f>
        <v>681</v>
      </c>
      <c r="O40" s="16">
        <f>ROUND(H40*O25,0)</f>
        <v>716</v>
      </c>
      <c r="P40" s="12">
        <f>IFERROR(C40/C25,"")</f>
        <v>1.1315033153047138E-2</v>
      </c>
      <c r="Q40" s="12">
        <f>IFERROR(D40/D25,"")</f>
        <v>1.079219288174512E-2</v>
      </c>
      <c r="R40" s="12">
        <f>IFERROR(E40/E25,"")</f>
        <v>1.0424018676366794E-2</v>
      </c>
      <c r="S40" s="12">
        <f>IFERROR(F40/F25,"")</f>
        <v>1.3582392976046669E-2</v>
      </c>
    </row>
    <row r="41" spans="1:19" ht="15" customHeight="1" x14ac:dyDescent="0.2">
      <c r="A41" s="6" t="s">
        <v>99</v>
      </c>
      <c r="B41" s="11">
        <v>5</v>
      </c>
      <c r="C41" s="11">
        <v>5</v>
      </c>
      <c r="D41" s="11">
        <v>22</v>
      </c>
      <c r="E41" s="11">
        <v>12</v>
      </c>
      <c r="F41" s="11">
        <v>16</v>
      </c>
      <c r="G41" s="12">
        <f>IFERROR(B41/B25,"")</f>
        <v>1.0940919037199125E-4</v>
      </c>
      <c r="H41" s="13">
        <f t="shared" si="1"/>
        <v>3.0497656893307691E-4</v>
      </c>
      <c r="I41" s="14" t="s">
        <v>51</v>
      </c>
      <c r="J41" s="15" t="s">
        <v>100</v>
      </c>
      <c r="K41" s="16">
        <f>ROUND(H41*K25,0)</f>
        <v>15</v>
      </c>
      <c r="L41" s="16">
        <f>ROUND(H41*L25,0)</f>
        <v>16</v>
      </c>
      <c r="M41" s="16">
        <f>ROUND(H41*M25,0)</f>
        <v>17</v>
      </c>
      <c r="N41" s="16">
        <f>ROUND(H41*N25,0)</f>
        <v>18</v>
      </c>
      <c r="O41" s="16">
        <f>ROUND(H41*O25,0)</f>
        <v>19</v>
      </c>
      <c r="P41" s="12">
        <f>IFERROR(C41/C25,"")</f>
        <v>1.1315033153047138E-4</v>
      </c>
      <c r="Q41" s="12">
        <f>IFERROR(D41/D25,"")</f>
        <v>5.0516647531572909E-4</v>
      </c>
      <c r="R41" s="12">
        <f>IFERROR(E41/E25,"")</f>
        <v>3.2575058363646232E-4</v>
      </c>
      <c r="S41" s="12">
        <f>IFERROR(F41/F25,"")</f>
        <v>4.7140626381073037E-4</v>
      </c>
    </row>
    <row r="42" spans="1:19" ht="15" customHeight="1" x14ac:dyDescent="0.2">
      <c r="A42" s="6" t="s">
        <v>101</v>
      </c>
      <c r="B42" s="11">
        <v>971</v>
      </c>
      <c r="C42" s="11">
        <v>1389</v>
      </c>
      <c r="D42" s="11">
        <v>1238</v>
      </c>
      <c r="E42" s="11">
        <v>1172</v>
      </c>
      <c r="F42" s="11">
        <v>1126</v>
      </c>
      <c r="G42" s="12">
        <f>IFERROR(B42/B25,"")</f>
        <v>2.1247264770240699E-2</v>
      </c>
      <c r="H42" s="13">
        <f t="shared" si="1"/>
        <v>2.9219542329269443E-2</v>
      </c>
      <c r="I42" s="14" t="s">
        <v>51</v>
      </c>
      <c r="J42" s="15" t="s">
        <v>102</v>
      </c>
      <c r="K42" s="16">
        <f>ROUND(H42*K25,0)</f>
        <v>1464</v>
      </c>
      <c r="L42" s="16">
        <f>ROUND(H42*L25,0)</f>
        <v>1554</v>
      </c>
      <c r="M42" s="16">
        <f>ROUND(H42*M25,0)</f>
        <v>1644</v>
      </c>
      <c r="N42" s="16">
        <f>ROUND(H42*N25,0)</f>
        <v>1735</v>
      </c>
      <c r="O42" s="16">
        <f>ROUND(H42*O25,0)</f>
        <v>1825</v>
      </c>
      <c r="P42" s="12">
        <f>IFERROR(C42/C25,"")</f>
        <v>3.1433162099164948E-2</v>
      </c>
      <c r="Q42" s="12">
        <f>IFERROR(D42/D25,"")</f>
        <v>2.8427095292766935E-2</v>
      </c>
      <c r="R42" s="12">
        <f>IFERROR(E42/E25,"")</f>
        <v>3.1814973668494492E-2</v>
      </c>
      <c r="S42" s="12">
        <f>IFERROR(F42/F25,"")</f>
        <v>3.3175215815680149E-2</v>
      </c>
    </row>
    <row r="43" spans="1:19" ht="15" customHeight="1" x14ac:dyDescent="0.2">
      <c r="A43" s="6" t="s">
        <v>103</v>
      </c>
      <c r="B43" s="11">
        <v>125</v>
      </c>
      <c r="C43" s="11">
        <v>132</v>
      </c>
      <c r="D43" s="11">
        <v>124</v>
      </c>
      <c r="E43" s="11">
        <v>109</v>
      </c>
      <c r="F43" s="11">
        <v>84</v>
      </c>
      <c r="G43" s="12">
        <f>IFERROR(B43/B25,"")</f>
        <v>2.7352297592997811E-3</v>
      </c>
      <c r="H43" s="13">
        <f t="shared" si="1"/>
        <v>2.8006968966375985E-3</v>
      </c>
      <c r="I43" s="14" t="s">
        <v>51</v>
      </c>
      <c r="J43" s="15" t="s">
        <v>104</v>
      </c>
      <c r="K43" s="16">
        <f>ROUND(H43*K25,0)</f>
        <v>140</v>
      </c>
      <c r="L43" s="16">
        <f>ROUND(H43*L25,0)</f>
        <v>149</v>
      </c>
      <c r="M43" s="16">
        <f>ROUND(H43*M25,0)</f>
        <v>158</v>
      </c>
      <c r="N43" s="16">
        <f>ROUND(H43*N25,0)</f>
        <v>166</v>
      </c>
      <c r="O43" s="16">
        <f>ROUND(H43*O25,0)</f>
        <v>175</v>
      </c>
      <c r="P43" s="12">
        <f>IFERROR(C43/C25,"")</f>
        <v>2.9871687524044444E-3</v>
      </c>
      <c r="Q43" s="12">
        <f>IFERROR(D43/D25,"")</f>
        <v>2.8473019517795636E-3</v>
      </c>
      <c r="R43" s="12">
        <f>IFERROR(E43/E25,"")</f>
        <v>2.9589011346978665E-3</v>
      </c>
      <c r="S43" s="12">
        <f>IFERROR(F43/F25,"")</f>
        <v>2.4748828850063346E-3</v>
      </c>
    </row>
    <row r="44" spans="1:19" ht="15" customHeight="1" x14ac:dyDescent="0.2">
      <c r="A44" s="6" t="s">
        <v>105</v>
      </c>
      <c r="B44" s="11">
        <v>1096</v>
      </c>
      <c r="C44" s="11">
        <v>1521</v>
      </c>
      <c r="D44" s="11">
        <v>1362</v>
      </c>
      <c r="E44" s="11">
        <v>1281</v>
      </c>
      <c r="F44" s="11">
        <v>1210</v>
      </c>
      <c r="G44" s="12">
        <f>IFERROR(B44/B25,"")</f>
        <v>2.3982494529540481E-2</v>
      </c>
      <c r="H44" s="13">
        <f t="shared" si="1"/>
        <v>3.2020239225907042E-2</v>
      </c>
      <c r="I44" s="14" t="s">
        <v>51</v>
      </c>
      <c r="J44" s="15" t="s">
        <v>106</v>
      </c>
      <c r="K44" s="16">
        <f>ROUND(H44*K25,0)</f>
        <v>1604</v>
      </c>
      <c r="L44" s="16">
        <f>ROUND(H44*L25,0)</f>
        <v>1703</v>
      </c>
      <c r="M44" s="16">
        <f>ROUND(H44*M25,0)</f>
        <v>1802</v>
      </c>
      <c r="N44" s="16">
        <f>ROUND(H44*N25,0)</f>
        <v>1901</v>
      </c>
      <c r="O44" s="16">
        <f>ROUND(H44*O25,0)</f>
        <v>2000</v>
      </c>
      <c r="P44" s="12">
        <f>IFERROR(C44/C25,"")</f>
        <v>3.4420330851569397E-2</v>
      </c>
      <c r="Q44" s="12">
        <f>IFERROR(D44/D25,"")</f>
        <v>3.1274397244546497E-2</v>
      </c>
      <c r="R44" s="12">
        <f>IFERROR(E44/E25,"")</f>
        <v>3.4773874803192356E-2</v>
      </c>
      <c r="S44" s="12">
        <f>IFERROR(F44/F25,"")</f>
        <v>3.5650098700686486E-2</v>
      </c>
    </row>
    <row r="45" spans="1:19" ht="15" customHeight="1" x14ac:dyDescent="0.2">
      <c r="A45" s="17" t="s">
        <v>107</v>
      </c>
      <c r="B45" s="18">
        <f>B28+B34+B42</f>
        <v>41629</v>
      </c>
      <c r="C45" s="18">
        <f>C28+C34+C42</f>
        <v>40208</v>
      </c>
      <c r="D45" s="18">
        <f>D28+D34+D42</f>
        <v>39723</v>
      </c>
      <c r="E45" s="18">
        <f>E28+E34+E42</f>
        <v>33415</v>
      </c>
      <c r="F45" s="18">
        <f>F28+F34+F42</f>
        <v>30276</v>
      </c>
      <c r="G45" s="12">
        <f>IFERROR(B45/B25,"")</f>
        <v>0.9109190371991247</v>
      </c>
      <c r="H45" s="13">
        <f t="shared" si="1"/>
        <v>0.90641017747113894</v>
      </c>
      <c r="I45" s="14" t="s">
        <v>108</v>
      </c>
      <c r="J45" s="15" t="s">
        <v>109</v>
      </c>
      <c r="K45" s="18">
        <f>K28+K34+K42</f>
        <v>45415</v>
      </c>
      <c r="L45" s="18">
        <f>L28+L34+L42</f>
        <v>48213</v>
      </c>
      <c r="M45" s="18">
        <f>M28+M34+M42</f>
        <v>51010</v>
      </c>
      <c r="N45" s="18">
        <f>N28+N34+N42</f>
        <v>53810</v>
      </c>
      <c r="O45" s="18">
        <f>O28+O34+O42</f>
        <v>56607</v>
      </c>
      <c r="P45" s="12">
        <f>IFERROR(C45/C25,"")</f>
        <v>0.90990970603543864</v>
      </c>
      <c r="Q45" s="12">
        <f>IFERROR(D45/D25,"")</f>
        <v>0.91212399540757749</v>
      </c>
      <c r="R45" s="12">
        <f>IFERROR(E45/E25,"")</f>
        <v>0.90707964601769908</v>
      </c>
      <c r="S45" s="12">
        <f>IFERROR(F45/F25,"")</f>
        <v>0.89201850269585459</v>
      </c>
    </row>
    <row r="46" spans="1:19" ht="15" customHeight="1" x14ac:dyDescent="0.2">
      <c r="A46" s="5" t="s">
        <v>110</v>
      </c>
      <c r="B46" s="5"/>
      <c r="C46" s="5"/>
      <c r="D46" s="5"/>
      <c r="E46" s="5"/>
      <c r="F46" s="5"/>
      <c r="M46" s="10"/>
      <c r="N46" s="10"/>
    </row>
    <row r="47" spans="1:19" ht="15" customHeight="1" x14ac:dyDescent="0.2">
      <c r="A47" s="6" t="s">
        <v>111</v>
      </c>
      <c r="B47" s="11">
        <v>4071</v>
      </c>
      <c r="C47" s="11">
        <v>3981</v>
      </c>
      <c r="D47" s="11">
        <v>3827</v>
      </c>
      <c r="E47" s="11">
        <v>3423</v>
      </c>
      <c r="F47" s="11">
        <v>3665</v>
      </c>
      <c r="G47" s="12">
        <f>IFERROR(B47/B25,"")</f>
        <v>8.9080962800875269E-2</v>
      </c>
      <c r="H47" s="13">
        <f>IFERROR(AVERAGE(G47,P47,Q47,R47,S47),"")</f>
        <v>9.3589822528861083E-2</v>
      </c>
      <c r="I47" s="14" t="s">
        <v>112</v>
      </c>
      <c r="J47" s="15" t="s">
        <v>113</v>
      </c>
      <c r="K47" s="18">
        <f>K25-K45</f>
        <v>4689</v>
      </c>
      <c r="L47" s="18">
        <f>L25-L45</f>
        <v>4978</v>
      </c>
      <c r="M47" s="18">
        <f>M25-M45</f>
        <v>5268</v>
      </c>
      <c r="N47" s="18">
        <f>N25-N45</f>
        <v>5555</v>
      </c>
      <c r="O47" s="18">
        <f>O25-O45</f>
        <v>5845</v>
      </c>
      <c r="P47" s="12">
        <f>IFERROR(C47/C25,"")</f>
        <v>9.0090293964561322E-2</v>
      </c>
      <c r="Q47" s="12">
        <f>IFERROR(D47/D25,"")</f>
        <v>8.7876004592422507E-2</v>
      </c>
      <c r="R47" s="12">
        <f>IFERROR(E47/E25,"")</f>
        <v>9.2920353982300891E-2</v>
      </c>
      <c r="S47" s="12">
        <f>IFERROR(F47/F25,"")</f>
        <v>0.10798149730414543</v>
      </c>
    </row>
    <row r="48" spans="1:19" ht="15" customHeight="1" x14ac:dyDescent="0.2">
      <c r="A48" s="5" t="s">
        <v>114</v>
      </c>
      <c r="B48" s="5"/>
      <c r="C48" s="5"/>
      <c r="D48" s="5"/>
      <c r="E48" s="5"/>
      <c r="F48" s="5"/>
      <c r="M48" s="10"/>
      <c r="N48" s="10"/>
    </row>
    <row r="49" spans="1:19" ht="15" customHeight="1" x14ac:dyDescent="0.2">
      <c r="A49" s="17" t="s">
        <v>115</v>
      </c>
      <c r="B49" s="18">
        <v>-412</v>
      </c>
      <c r="C49" s="18">
        <v>-402</v>
      </c>
      <c r="D49" s="18">
        <v>-354</v>
      </c>
      <c r="E49" s="18">
        <v>-313</v>
      </c>
      <c r="F49" s="18">
        <v>-344</v>
      </c>
      <c r="G49" s="12">
        <f>IFERROR(B49/B25,"")</f>
        <v>-9.0153172866520789E-3</v>
      </c>
      <c r="H49" s="13">
        <f t="shared" ref="H49:H59" si="2">IFERROR(AVERAGE(G49,P49,Q49,R49,S49),"")</f>
        <v>-8.9746175000461545E-3</v>
      </c>
      <c r="I49" s="14" t="s">
        <v>116</v>
      </c>
      <c r="J49" s="15" t="s">
        <v>117</v>
      </c>
      <c r="K49" s="18">
        <f>-(K50)+K52</f>
        <v>-478</v>
      </c>
      <c r="L49" s="18">
        <f>-(L50)+L52</f>
        <v>-402</v>
      </c>
      <c r="M49" s="18">
        <f>-(M50)+M52</f>
        <v>-403</v>
      </c>
      <c r="N49" s="18">
        <f>-(N50)+N52</f>
        <v>-404</v>
      </c>
      <c r="O49" s="18">
        <f>-(O50)+O52</f>
        <v>-405</v>
      </c>
      <c r="P49" s="12">
        <f>IFERROR(C49/C25,"")</f>
        <v>-9.0972866550498993E-3</v>
      </c>
      <c r="Q49" s="12">
        <f>IFERROR(D49/D25,"")</f>
        <v>-8.1285878300803669E-3</v>
      </c>
      <c r="R49" s="12">
        <f>IFERROR(E49/E25,"")</f>
        <v>-8.4966610565177271E-3</v>
      </c>
      <c r="S49" s="12">
        <f>IFERROR(F49/F25,"")</f>
        <v>-1.0135234671930704E-2</v>
      </c>
    </row>
    <row r="50" spans="1:19" ht="15" customHeight="1" x14ac:dyDescent="0.2">
      <c r="A50" s="6" t="s">
        <v>118</v>
      </c>
      <c r="B50" s="11">
        <v>393</v>
      </c>
      <c r="C50" s="11">
        <v>379</v>
      </c>
      <c r="D50" s="11">
        <v>336</v>
      </c>
      <c r="E50" s="11">
        <v>289</v>
      </c>
      <c r="F50" s="11">
        <v>316</v>
      </c>
      <c r="G50" s="12">
        <f>IFERROR(B50/B25,"")</f>
        <v>8.599562363238512E-3</v>
      </c>
      <c r="H50" s="13">
        <f t="shared" si="2"/>
        <v>8.4094121795154041E-3</v>
      </c>
      <c r="I50" s="14" t="s">
        <v>119</v>
      </c>
      <c r="J50" s="15" t="s">
        <v>120</v>
      </c>
      <c r="K50" s="20">
        <f>ROUND(0.098075*'Balance Sheet'!G116,0)</f>
        <v>463</v>
      </c>
      <c r="L50" s="20">
        <f>ROUND(0.098075*'Balance Sheet'!T116,0)</f>
        <v>386</v>
      </c>
      <c r="M50" s="20">
        <f>ROUND(0.098075*'Balance Sheet'!U116,0)</f>
        <v>386</v>
      </c>
      <c r="N50" s="20">
        <f>ROUND(0.098075*'Balance Sheet'!V116,0)</f>
        <v>386</v>
      </c>
      <c r="O50" s="20">
        <f>ROUND(0.098075*'Balance Sheet'!W116,0)</f>
        <v>386</v>
      </c>
      <c r="P50" s="12">
        <f>IFERROR(C50/C25,"")</f>
        <v>8.5767951300097303E-3</v>
      </c>
      <c r="Q50" s="12">
        <f>IFERROR(D50/D25,"")</f>
        <v>7.7152698048220435E-3</v>
      </c>
      <c r="R50" s="12">
        <f>IFERROR(E50/E25,"")</f>
        <v>7.8451598892448019E-3</v>
      </c>
      <c r="S50" s="12">
        <f>IFERROR(F50/F25,"")</f>
        <v>9.3102737102619248E-3</v>
      </c>
    </row>
    <row r="51" spans="1:19" ht="15" customHeight="1" x14ac:dyDescent="0.2">
      <c r="A51" s="6" t="s">
        <v>121</v>
      </c>
      <c r="B51" s="11">
        <v>393</v>
      </c>
      <c r="C51" s="11">
        <v>379</v>
      </c>
      <c r="D51" s="11">
        <v>336</v>
      </c>
      <c r="E51" s="11">
        <v>289</v>
      </c>
      <c r="F51" s="11">
        <v>316</v>
      </c>
      <c r="G51" s="12">
        <f>IFERROR(B51/B25,"")</f>
        <v>8.599562363238512E-3</v>
      </c>
      <c r="H51" s="13">
        <f t="shared" si="2"/>
        <v>8.4094121795154041E-3</v>
      </c>
      <c r="I51" s="14" t="s">
        <v>122</v>
      </c>
      <c r="J51" s="15" t="s">
        <v>123</v>
      </c>
      <c r="K51" s="16">
        <f>K50</f>
        <v>463</v>
      </c>
      <c r="L51" s="16">
        <f>L50</f>
        <v>386</v>
      </c>
      <c r="M51" s="16">
        <f>M50</f>
        <v>386</v>
      </c>
      <c r="N51" s="16">
        <f>N50</f>
        <v>386</v>
      </c>
      <c r="O51" s="16">
        <f>O50</f>
        <v>386</v>
      </c>
      <c r="P51" s="12">
        <f>IFERROR(C51/C25,"")</f>
        <v>8.5767951300097303E-3</v>
      </c>
      <c r="Q51" s="12">
        <f>IFERROR(D51/D25,"")</f>
        <v>7.7152698048220435E-3</v>
      </c>
      <c r="R51" s="12">
        <f>IFERROR(E51/E25,"")</f>
        <v>7.8451598892448019E-3</v>
      </c>
      <c r="S51" s="12">
        <f>IFERROR(F51/F25,"")</f>
        <v>9.3102737102619248E-3</v>
      </c>
    </row>
    <row r="52" spans="1:19" ht="15" customHeight="1" x14ac:dyDescent="0.2">
      <c r="A52" s="17" t="s">
        <v>124</v>
      </c>
      <c r="B52" s="18">
        <f>SUM(B53:B54)</f>
        <v>-11</v>
      </c>
      <c r="C52" s="18">
        <f>SUM(C53:C54)</f>
        <v>-13</v>
      </c>
      <c r="D52" s="18">
        <f>SUM(D53:D54)</f>
        <v>-10</v>
      </c>
      <c r="E52" s="18">
        <f>SUM(E53:E54)</f>
        <v>-14</v>
      </c>
      <c r="F52" s="18">
        <f>SUM(F53:F54)</f>
        <v>-12</v>
      </c>
      <c r="G52" s="12">
        <f>IFERROR(B52/B25,"")</f>
        <v>-2.4070021881838076E-4</v>
      </c>
      <c r="H52" s="13">
        <f t="shared" si="2"/>
        <v>-2.9962185027500803E-4</v>
      </c>
      <c r="I52" s="14" t="s">
        <v>51</v>
      </c>
      <c r="J52" s="15" t="s">
        <v>125</v>
      </c>
      <c r="K52" s="16">
        <f>ROUND(H52*K25,0)</f>
        <v>-15</v>
      </c>
      <c r="L52" s="16">
        <f>ROUND(H52*L25,0)</f>
        <v>-16</v>
      </c>
      <c r="M52" s="16">
        <f>ROUND(H52*M25,0)</f>
        <v>-17</v>
      </c>
      <c r="N52" s="16">
        <f>ROUND(H52*N25,0)</f>
        <v>-18</v>
      </c>
      <c r="O52" s="16">
        <f>ROUND(H52*O25,0)</f>
        <v>-19</v>
      </c>
      <c r="P52" s="12">
        <f>IFERROR(C52/C25,"")</f>
        <v>-2.9419086197922557E-4</v>
      </c>
      <c r="Q52" s="12">
        <f>IFERROR(D52/D25,"")</f>
        <v>-2.296211251435132E-4</v>
      </c>
      <c r="R52" s="12">
        <f>IFERROR(E52/E25,"")</f>
        <v>-3.8004234757587274E-4</v>
      </c>
      <c r="S52" s="12">
        <f>IFERROR(F52/F25,"")</f>
        <v>-3.5355469785804778E-4</v>
      </c>
    </row>
    <row r="53" spans="1:19" ht="15" customHeight="1" x14ac:dyDescent="0.2">
      <c r="A53" s="6" t="s">
        <v>126</v>
      </c>
      <c r="B53" s="11">
        <v>4</v>
      </c>
      <c r="C53" s="11">
        <v>5</v>
      </c>
      <c r="D53" s="11">
        <v>4</v>
      </c>
      <c r="E53" s="11">
        <v>5</v>
      </c>
      <c r="F53" s="11">
        <v>8</v>
      </c>
      <c r="G53" s="12">
        <f>IFERROR(B53/B25,"")</f>
        <v>8.7527352297592998E-5</v>
      </c>
      <c r="H53" s="13">
        <f t="shared" si="2"/>
        <v>1.3279173512787217E-4</v>
      </c>
      <c r="I53" s="14" t="s">
        <v>51</v>
      </c>
      <c r="J53" s="15" t="s">
        <v>127</v>
      </c>
      <c r="K53" s="16">
        <f>ROUND(H53*K25,0)</f>
        <v>7</v>
      </c>
      <c r="L53" s="16">
        <f>ROUND(H53*L25,0)</f>
        <v>7</v>
      </c>
      <c r="M53" s="16">
        <f>ROUND(H53*M25,0)</f>
        <v>7</v>
      </c>
      <c r="N53" s="16">
        <f>ROUND(H53*N25,0)</f>
        <v>8</v>
      </c>
      <c r="O53" s="16">
        <f>ROUND(H53*O25,0)</f>
        <v>8</v>
      </c>
      <c r="P53" s="12">
        <f>IFERROR(C53/C25,"")</f>
        <v>1.1315033153047138E-4</v>
      </c>
      <c r="Q53" s="12">
        <f>IFERROR(D53/D25,"")</f>
        <v>9.1848450057405276E-5</v>
      </c>
      <c r="R53" s="12">
        <f>IFERROR(E53/E25,"")</f>
        <v>1.3572940984852598E-4</v>
      </c>
      <c r="S53" s="12">
        <f>IFERROR(F53/F25,"")</f>
        <v>2.3570313190536519E-4</v>
      </c>
    </row>
    <row r="54" spans="1:19" ht="15" customHeight="1" x14ac:dyDescent="0.2">
      <c r="A54" s="6" t="s">
        <v>128</v>
      </c>
      <c r="B54" s="11">
        <v>-15</v>
      </c>
      <c r="C54" s="11">
        <v>-18</v>
      </c>
      <c r="D54" s="11">
        <v>-14</v>
      </c>
      <c r="E54" s="11">
        <v>-19</v>
      </c>
      <c r="F54" s="11">
        <v>-20</v>
      </c>
      <c r="G54" s="12">
        <f>IFERROR(B54/B25,"")</f>
        <v>-3.2822757111597374E-4</v>
      </c>
      <c r="H54" s="13">
        <f t="shared" si="2"/>
        <v>-4.3241358540288023E-4</v>
      </c>
      <c r="I54" s="14" t="s">
        <v>51</v>
      </c>
      <c r="J54" s="15" t="s">
        <v>129</v>
      </c>
      <c r="K54" s="16">
        <f>ROUND(H54*K25,0)</f>
        <v>-22</v>
      </c>
      <c r="L54" s="16">
        <f>ROUND(H54*L25,0)</f>
        <v>-23</v>
      </c>
      <c r="M54" s="16">
        <f>ROUND(H54*M25,0)</f>
        <v>-24</v>
      </c>
      <c r="N54" s="16">
        <f>ROUND(H54*N25,0)</f>
        <v>-26</v>
      </c>
      <c r="O54" s="16">
        <f>ROUND(H54*O25,0)</f>
        <v>-27</v>
      </c>
      <c r="P54" s="12">
        <f>IFERROR(C54/C25,"")</f>
        <v>-4.0734119350969696E-4</v>
      </c>
      <c r="Q54" s="12">
        <f>IFERROR(D54/D25,"")</f>
        <v>-3.2146957520091848E-4</v>
      </c>
      <c r="R54" s="12">
        <f>IFERROR(E54/E25,"")</f>
        <v>-5.1577175742439875E-4</v>
      </c>
      <c r="S54" s="12">
        <f>IFERROR(F54/F25,"")</f>
        <v>-5.8925782976341297E-4</v>
      </c>
    </row>
    <row r="55" spans="1:19" ht="15" customHeight="1" x14ac:dyDescent="0.2">
      <c r="A55" s="6" t="s">
        <v>130</v>
      </c>
      <c r="B55" s="11">
        <v>1</v>
      </c>
      <c r="C55" s="11">
        <v>12</v>
      </c>
      <c r="D55" s="11">
        <v>41</v>
      </c>
      <c r="E55" s="11">
        <v>58</v>
      </c>
      <c r="F55" s="11">
        <v>3</v>
      </c>
      <c r="G55" s="12">
        <f>IFERROR(B55/B25,"")</f>
        <v>2.188183807439825E-5</v>
      </c>
      <c r="H55" s="13">
        <f t="shared" si="2"/>
        <v>5.7954781510866939E-4</v>
      </c>
      <c r="I55" s="14" t="s">
        <v>51</v>
      </c>
      <c r="J55" s="15" t="s">
        <v>131</v>
      </c>
      <c r="K55" s="16">
        <f>ROUND(H55*K25,0)</f>
        <v>29</v>
      </c>
      <c r="L55" s="16">
        <f>ROUND(H55*L25,0)</f>
        <v>31</v>
      </c>
      <c r="M55" s="16">
        <f>ROUND(H55*M25,0)</f>
        <v>33</v>
      </c>
      <c r="N55" s="16">
        <f>ROUND(H55*N25,0)</f>
        <v>34</v>
      </c>
      <c r="O55" s="16">
        <f>ROUND(H55*O25,0)</f>
        <v>36</v>
      </c>
      <c r="P55" s="12">
        <f>IFERROR(C55/C25,"")</f>
        <v>2.7156079567313134E-4</v>
      </c>
      <c r="Q55" s="12">
        <f>IFERROR(D55/D25,"")</f>
        <v>9.4144661308840413E-4</v>
      </c>
      <c r="R55" s="12">
        <f>IFERROR(E55/E25,"")</f>
        <v>1.5744611542429013E-3</v>
      </c>
      <c r="S55" s="12">
        <f>IFERROR(F55/F25,"")</f>
        <v>8.8388674464511945E-5</v>
      </c>
    </row>
    <row r="56" spans="1:19" ht="15" customHeight="1" x14ac:dyDescent="0.2">
      <c r="A56" s="6" t="s">
        <v>132</v>
      </c>
      <c r="B56" s="11">
        <v>196</v>
      </c>
      <c r="C56" s="11">
        <v>35</v>
      </c>
      <c r="D56" s="11">
        <v>9</v>
      </c>
      <c r="E56" s="11">
        <v>173</v>
      </c>
      <c r="F56" s="11">
        <v>103</v>
      </c>
      <c r="G56" s="12">
        <f>IFERROR(B56/B25,"")</f>
        <v>4.2888402625820572E-3</v>
      </c>
      <c r="H56" s="13">
        <f t="shared" si="2"/>
        <v>2.6036933999930194E-3</v>
      </c>
      <c r="I56" s="14" t="s">
        <v>51</v>
      </c>
      <c r="J56" s="15" t="s">
        <v>133</v>
      </c>
      <c r="K56" s="16">
        <f>ROUND(H56*K25,0)</f>
        <v>130</v>
      </c>
      <c r="L56" s="16">
        <f>ROUND(H56*L25,0)</f>
        <v>138</v>
      </c>
      <c r="M56" s="16">
        <f>ROUND(H56*M25,0)</f>
        <v>147</v>
      </c>
      <c r="N56" s="16">
        <f>ROUND(H56*N25,0)</f>
        <v>155</v>
      </c>
      <c r="O56" s="16">
        <f>ROUND(H56*O25,0)</f>
        <v>163</v>
      </c>
      <c r="P56" s="12">
        <f>IFERROR(C56/C25,"")</f>
        <v>7.9205232071329968E-4</v>
      </c>
      <c r="Q56" s="12">
        <f>IFERROR(D56/D25,"")</f>
        <v>2.0665901262916189E-4</v>
      </c>
      <c r="R56" s="12">
        <f>IFERROR(E56/E25,"")</f>
        <v>4.6962375807589989E-3</v>
      </c>
      <c r="S56" s="12">
        <f>IFERROR(F56/F25,"")</f>
        <v>3.034677823281577E-3</v>
      </c>
    </row>
    <row r="57" spans="1:19" ht="15" customHeight="1" x14ac:dyDescent="0.2">
      <c r="A57" s="6" t="s">
        <v>134</v>
      </c>
      <c r="B57" s="6"/>
      <c r="C57" s="6"/>
      <c r="D57" s="6"/>
      <c r="E57" s="6"/>
      <c r="F57" s="11">
        <v>59</v>
      </c>
      <c r="G57" s="12">
        <f>IFERROR(B57/B25,"")</f>
        <v>0</v>
      </c>
      <c r="H57" s="13">
        <f t="shared" si="2"/>
        <v>3.4766211956041365E-4</v>
      </c>
      <c r="I57" s="14" t="s">
        <v>135</v>
      </c>
      <c r="J57" s="15" t="s">
        <v>136</v>
      </c>
      <c r="K57" s="12"/>
      <c r="L57" s="12"/>
      <c r="M57" s="14"/>
      <c r="N57" s="15"/>
      <c r="P57" s="12">
        <f>IFERROR(C57/C25,"")</f>
        <v>0</v>
      </c>
      <c r="Q57" s="12">
        <f>IFERROR(D57/D25,"")</f>
        <v>0</v>
      </c>
      <c r="R57" s="12">
        <f>IFERROR(E57/E25,"")</f>
        <v>0</v>
      </c>
      <c r="S57" s="12">
        <f>IFERROR(F57/F25,"")</f>
        <v>1.7383105978020683E-3</v>
      </c>
    </row>
    <row r="58" spans="1:19" ht="15" customHeight="1" x14ac:dyDescent="0.2">
      <c r="A58" s="6" t="s">
        <v>137</v>
      </c>
      <c r="B58" s="6"/>
      <c r="C58" s="6"/>
      <c r="D58" s="6"/>
      <c r="E58" s="6"/>
      <c r="F58" s="11">
        <v>59</v>
      </c>
      <c r="G58" s="12">
        <f>IFERROR(B58/B25,"")</f>
        <v>0</v>
      </c>
      <c r="H58" s="13">
        <f t="shared" si="2"/>
        <v>3.4766211956041365E-4</v>
      </c>
      <c r="I58" s="14" t="s">
        <v>135</v>
      </c>
      <c r="J58" s="15" t="s">
        <v>136</v>
      </c>
      <c r="K58" s="12"/>
      <c r="L58" s="12"/>
      <c r="M58" s="14"/>
      <c r="N58" s="15"/>
      <c r="P58" s="12">
        <f>IFERROR(C58/C25,"")</f>
        <v>0</v>
      </c>
      <c r="Q58" s="12">
        <f>IFERROR(D58/D25,"")</f>
        <v>0</v>
      </c>
      <c r="R58" s="12">
        <f>IFERROR(E58/E25,"")</f>
        <v>0</v>
      </c>
      <c r="S58" s="12">
        <f>IFERROR(F58/F25,"")</f>
        <v>1.7383105978020683E-3</v>
      </c>
    </row>
    <row r="59" spans="1:19" ht="15" customHeight="1" x14ac:dyDescent="0.2">
      <c r="A59" s="6" t="s">
        <v>138</v>
      </c>
      <c r="B59" s="11">
        <v>3856</v>
      </c>
      <c r="C59" s="11">
        <v>3626</v>
      </c>
      <c r="D59" s="11">
        <v>3523</v>
      </c>
      <c r="E59" s="11">
        <v>3341</v>
      </c>
      <c r="F59" s="11">
        <v>3486</v>
      </c>
      <c r="G59" s="12">
        <f>IFERROR(B59/B25,"")</f>
        <v>8.4376367614879655E-2</v>
      </c>
      <c r="H59" s="13">
        <f t="shared" si="2"/>
        <v>8.8146108363477027E-2</v>
      </c>
      <c r="I59" s="14" t="s">
        <v>139</v>
      </c>
      <c r="J59" s="15" t="s">
        <v>140</v>
      </c>
      <c r="K59" s="21">
        <f>K47+K49+K55+K56</f>
        <v>4370</v>
      </c>
      <c r="L59" s="21">
        <f>L47+L49+L55+L56</f>
        <v>4745</v>
      </c>
      <c r="M59" s="21">
        <f>M47+M49+M55+M56</f>
        <v>5045</v>
      </c>
      <c r="N59" s="21">
        <f>N47+N49+N55+N56</f>
        <v>5340</v>
      </c>
      <c r="O59" s="21">
        <f>O47+O49+O55+O56</f>
        <v>5639</v>
      </c>
      <c r="P59" s="12">
        <f>IFERROR(C59/C25,"")</f>
        <v>8.2056620425897842E-2</v>
      </c>
      <c r="Q59" s="12">
        <f>IFERROR(D59/D25,"")</f>
        <v>8.0895522388059707E-2</v>
      </c>
      <c r="R59" s="12">
        <f>IFERROR(E59/E25,"")</f>
        <v>9.0694391660785065E-2</v>
      </c>
      <c r="S59" s="12">
        <f>IFERROR(F59/F25,"")</f>
        <v>0.10270763972776288</v>
      </c>
    </row>
    <row r="60" spans="1:19" ht="15" customHeight="1" x14ac:dyDescent="0.2">
      <c r="A60" s="5" t="s">
        <v>141</v>
      </c>
      <c r="B60" s="5"/>
      <c r="C60" s="5"/>
      <c r="D60" s="5"/>
      <c r="E60" s="5"/>
      <c r="F60" s="5"/>
      <c r="M60" s="10"/>
      <c r="N60" s="10"/>
    </row>
    <row r="61" spans="1:19" ht="15" customHeight="1" x14ac:dyDescent="0.2">
      <c r="A61" s="17" t="s">
        <v>142</v>
      </c>
      <c r="B61" s="18">
        <v>197</v>
      </c>
      <c r="C61" s="18">
        <v>-39</v>
      </c>
      <c r="D61" s="18">
        <v>-14</v>
      </c>
      <c r="E61" s="18">
        <v>-21</v>
      </c>
      <c r="F61" s="18">
        <v>-113</v>
      </c>
      <c r="G61" s="12">
        <f>IFERROR(B61/B25,"")</f>
        <v>4.3107221006564549E-3</v>
      </c>
      <c r="H61" s="13">
        <f t="shared" ref="H61:H68" si="3">IFERROR(AVERAGE(G61,P61,Q61,R61,S61),"")</f>
        <v>-1.5853806400184653E-4</v>
      </c>
      <c r="I61" s="14" t="s">
        <v>51</v>
      </c>
      <c r="J61" s="15" t="s">
        <v>143</v>
      </c>
      <c r="K61" s="16">
        <f>ROUND(H61*K25,0)</f>
        <v>-8</v>
      </c>
      <c r="L61" s="16">
        <f>ROUND(H61*L25,0)</f>
        <v>-8</v>
      </c>
      <c r="M61" s="16">
        <f>ROUND(H61*M25,0)</f>
        <v>-9</v>
      </c>
      <c r="N61" s="16">
        <f>ROUND(H61*N25,0)</f>
        <v>-9</v>
      </c>
      <c r="O61" s="16">
        <f>ROUND(H61*O25,0)</f>
        <v>-10</v>
      </c>
      <c r="P61" s="12">
        <f>IFERROR(C61/C25,"")</f>
        <v>-8.8257258593767683E-4</v>
      </c>
      <c r="Q61" s="12">
        <f>IFERROR(D61/D25,"")</f>
        <v>-3.2146957520091848E-4</v>
      </c>
      <c r="R61" s="12">
        <f>IFERROR(E61/E25,"")</f>
        <v>-5.7006352136380911E-4</v>
      </c>
      <c r="S61" s="12">
        <f>IFERROR(F61/F25,"")</f>
        <v>-3.3293067381632833E-3</v>
      </c>
    </row>
    <row r="62" spans="1:19" ht="15" customHeight="1" x14ac:dyDescent="0.2">
      <c r="A62" s="6" t="s">
        <v>144</v>
      </c>
      <c r="B62" s="11">
        <v>38</v>
      </c>
      <c r="C62" s="11">
        <v>39</v>
      </c>
      <c r="D62" s="11">
        <v>14</v>
      </c>
      <c r="E62" s="11">
        <v>21</v>
      </c>
      <c r="F62" s="11">
        <v>54</v>
      </c>
      <c r="G62" s="12">
        <f>IFERROR(B62/B25,"")</f>
        <v>8.3150984682713351E-4</v>
      </c>
      <c r="H62" s="13">
        <f t="shared" si="3"/>
        <v>8.3932233393815055E-4</v>
      </c>
      <c r="I62" s="14" t="s">
        <v>51</v>
      </c>
      <c r="J62" s="15" t="s">
        <v>145</v>
      </c>
      <c r="K62" s="16">
        <f>ROUND(H62*K25,0)</f>
        <v>42</v>
      </c>
      <c r="L62" s="16">
        <f>ROUND(H62*L25,0)</f>
        <v>45</v>
      </c>
      <c r="M62" s="16">
        <f>ROUND(H62*M25,0)</f>
        <v>47</v>
      </c>
      <c r="N62" s="16">
        <f>ROUND(H62*N25,0)</f>
        <v>50</v>
      </c>
      <c r="O62" s="16">
        <f>ROUND(H62*O25,0)</f>
        <v>52</v>
      </c>
      <c r="P62" s="12">
        <f>IFERROR(C62/C25,"")</f>
        <v>8.8257258593767683E-4</v>
      </c>
      <c r="Q62" s="12">
        <f>IFERROR(D62/D25,"")</f>
        <v>3.2146957520091848E-4</v>
      </c>
      <c r="R62" s="12">
        <f>IFERROR(E62/E25,"")</f>
        <v>5.7006352136380911E-4</v>
      </c>
      <c r="S62" s="12">
        <f>IFERROR(F62/F25,"")</f>
        <v>1.590996140361215E-3</v>
      </c>
    </row>
    <row r="63" spans="1:19" ht="15" customHeight="1" x14ac:dyDescent="0.2">
      <c r="A63" s="6" t="s">
        <v>146</v>
      </c>
      <c r="B63" s="11">
        <v>34</v>
      </c>
      <c r="C63" s="11">
        <v>21</v>
      </c>
      <c r="D63" s="11">
        <v>10</v>
      </c>
      <c r="E63" s="11">
        <v>21</v>
      </c>
      <c r="F63" s="11">
        <v>42</v>
      </c>
      <c r="G63" s="12">
        <f>IFERROR(B63/B25,"")</f>
        <v>7.4398249452954049E-4</v>
      </c>
      <c r="H63" s="13">
        <f t="shared" si="3"/>
        <v>6.5126799519360198E-4</v>
      </c>
      <c r="I63" s="14" t="s">
        <v>51</v>
      </c>
      <c r="J63" s="15" t="s">
        <v>147</v>
      </c>
      <c r="K63" s="16">
        <f>ROUND(H63*K25,0)</f>
        <v>33</v>
      </c>
      <c r="L63" s="16">
        <f>ROUND(H63*L25,0)</f>
        <v>35</v>
      </c>
      <c r="M63" s="16">
        <f>ROUND(H63*M25,0)</f>
        <v>37</v>
      </c>
      <c r="N63" s="16">
        <f>ROUND(H63*N25,0)</f>
        <v>39</v>
      </c>
      <c r="O63" s="16">
        <f>ROUND(H63*O25,0)</f>
        <v>41</v>
      </c>
      <c r="P63" s="12">
        <f>IFERROR(C63/C25,"")</f>
        <v>4.7523139242797982E-4</v>
      </c>
      <c r="Q63" s="12">
        <f>IFERROR(D63/D25,"")</f>
        <v>2.296211251435132E-4</v>
      </c>
      <c r="R63" s="12">
        <f>IFERROR(E63/E25,"")</f>
        <v>5.7006352136380911E-4</v>
      </c>
      <c r="S63" s="12">
        <f>IFERROR(F63/F25,"")</f>
        <v>1.2374414425031673E-3</v>
      </c>
    </row>
    <row r="64" spans="1:19" ht="15" customHeight="1" x14ac:dyDescent="0.2">
      <c r="A64" s="6" t="s">
        <v>148</v>
      </c>
      <c r="B64" s="11">
        <v>4</v>
      </c>
      <c r="C64" s="11">
        <v>18</v>
      </c>
      <c r="D64" s="11">
        <v>4</v>
      </c>
      <c r="E64" s="11">
        <v>0</v>
      </c>
      <c r="F64" s="11">
        <v>0</v>
      </c>
      <c r="G64" s="12">
        <f>IFERROR(B64/B25,"")</f>
        <v>8.7527352297592998E-5</v>
      </c>
      <c r="H64" s="13">
        <f t="shared" si="3"/>
        <v>1.1734339917293904E-4</v>
      </c>
      <c r="I64" s="14" t="s">
        <v>51</v>
      </c>
      <c r="J64" s="15" t="s">
        <v>149</v>
      </c>
      <c r="K64" s="16">
        <f>ROUND(H64*K25,0)</f>
        <v>6</v>
      </c>
      <c r="L64" s="16">
        <f>ROUND(H64*L25,0)</f>
        <v>6</v>
      </c>
      <c r="M64" s="16">
        <f>ROUND(H64*M25,0)</f>
        <v>7</v>
      </c>
      <c r="N64" s="16">
        <f>ROUND(H64*N25,0)</f>
        <v>7</v>
      </c>
      <c r="O64" s="16">
        <f>ROUND(H64*O25,0)</f>
        <v>7</v>
      </c>
      <c r="P64" s="12">
        <f>IFERROR(C64/C25,"")</f>
        <v>4.0734119350969696E-4</v>
      </c>
      <c r="Q64" s="12">
        <f>IFERROR(D64/D25,"")</f>
        <v>9.1848450057405276E-5</v>
      </c>
      <c r="R64" s="12">
        <f>IFERROR(E64/E25,"")</f>
        <v>0</v>
      </c>
      <c r="S64" s="12">
        <f>IFERROR(F64/F25,"")</f>
        <v>0</v>
      </c>
    </row>
    <row r="65" spans="1:19" ht="15" customHeight="1" x14ac:dyDescent="0.2">
      <c r="A65" s="6" t="s">
        <v>150</v>
      </c>
      <c r="B65" s="6"/>
      <c r="C65" s="6"/>
      <c r="D65" s="6"/>
      <c r="E65" s="6"/>
      <c r="F65" s="11">
        <v>12</v>
      </c>
      <c r="G65" s="12">
        <f>IFERROR(B65/B25,"")</f>
        <v>0</v>
      </c>
      <c r="H65" s="13">
        <f t="shared" si="3"/>
        <v>7.0710939571609553E-5</v>
      </c>
      <c r="I65" s="14" t="s">
        <v>135</v>
      </c>
      <c r="J65" s="15" t="s">
        <v>136</v>
      </c>
      <c r="K65" s="12"/>
      <c r="L65" s="12"/>
      <c r="M65" s="14"/>
      <c r="N65" s="15"/>
      <c r="P65" s="12">
        <f>IFERROR(C65/C25,"")</f>
        <v>0</v>
      </c>
      <c r="Q65" s="12">
        <f>IFERROR(D65/D25,"")</f>
        <v>0</v>
      </c>
      <c r="R65" s="12">
        <f>IFERROR(E65/E25,"")</f>
        <v>0</v>
      </c>
      <c r="S65" s="12">
        <f>IFERROR(F65/F25,"")</f>
        <v>3.5355469785804778E-4</v>
      </c>
    </row>
    <row r="66" spans="1:19" ht="15" customHeight="1" x14ac:dyDescent="0.2">
      <c r="A66" s="6" t="s">
        <v>151</v>
      </c>
      <c r="B66" s="11">
        <v>2</v>
      </c>
      <c r="C66" s="6"/>
      <c r="D66" s="6"/>
      <c r="E66" s="6"/>
      <c r="F66" s="6"/>
      <c r="G66" s="12">
        <f>IFERROR(B66/B25,"")</f>
        <v>4.3763676148796499E-5</v>
      </c>
      <c r="H66" s="13">
        <f t="shared" si="3"/>
        <v>8.7527352297593005E-6</v>
      </c>
      <c r="I66" s="14" t="s">
        <v>51</v>
      </c>
      <c r="J66" s="15" t="s">
        <v>152</v>
      </c>
      <c r="K66" s="16">
        <f>ROUND(H66*K25,0)</f>
        <v>0</v>
      </c>
      <c r="L66" s="16">
        <f>ROUND(H66*L25,0)</f>
        <v>0</v>
      </c>
      <c r="M66" s="16">
        <f>ROUND(H66*M25,0)</f>
        <v>0</v>
      </c>
      <c r="N66" s="16">
        <f>ROUND(H66*N25,0)</f>
        <v>1</v>
      </c>
      <c r="O66" s="16">
        <f>ROUND(H66*O25,0)</f>
        <v>1</v>
      </c>
      <c r="P66" s="12">
        <f>IFERROR(C66/C25,"")</f>
        <v>0</v>
      </c>
      <c r="Q66" s="12">
        <f>IFERROR(D66/D25,"")</f>
        <v>0</v>
      </c>
      <c r="R66" s="12">
        <f>IFERROR(E66/E25,"")</f>
        <v>0</v>
      </c>
      <c r="S66" s="12">
        <f>IFERROR(F66/F25,"")</f>
        <v>0</v>
      </c>
    </row>
    <row r="67" spans="1:19" ht="15" customHeight="1" x14ac:dyDescent="0.2">
      <c r="A67" s="6" t="s">
        <v>153</v>
      </c>
      <c r="B67" s="6"/>
      <c r="C67" s="6"/>
      <c r="D67" s="6"/>
      <c r="E67" s="6"/>
      <c r="F67" s="11">
        <v>59</v>
      </c>
      <c r="G67" s="12">
        <f>IFERROR(B67/B25,"")</f>
        <v>0</v>
      </c>
      <c r="H67" s="13">
        <f t="shared" si="3"/>
        <v>3.4766211956041365E-4</v>
      </c>
      <c r="I67" s="14" t="s">
        <v>135</v>
      </c>
      <c r="J67" s="15" t="s">
        <v>136</v>
      </c>
      <c r="K67" s="12"/>
      <c r="L67" s="12"/>
      <c r="M67" s="14"/>
      <c r="N67" s="15"/>
      <c r="P67" s="12">
        <f>IFERROR(C67/C25,"")</f>
        <v>0</v>
      </c>
      <c r="Q67" s="12">
        <f>IFERROR(D67/D25,"")</f>
        <v>0</v>
      </c>
      <c r="R67" s="12">
        <f>IFERROR(E67/E25,"")</f>
        <v>0</v>
      </c>
      <c r="S67" s="12">
        <f>IFERROR(F67/F25,"")</f>
        <v>1.7383105978020683E-3</v>
      </c>
    </row>
    <row r="68" spans="1:19" ht="15" customHeight="1" x14ac:dyDescent="0.2">
      <c r="A68" s="6" t="s">
        <v>154</v>
      </c>
      <c r="B68" s="11">
        <v>237</v>
      </c>
      <c r="C68" s="6"/>
      <c r="D68" s="6"/>
      <c r="E68" s="6"/>
      <c r="F68" s="11">
        <v>0</v>
      </c>
      <c r="G68" s="12">
        <f>IFERROR(B68/B25,"")</f>
        <v>5.185995623632385E-3</v>
      </c>
      <c r="H68" s="13">
        <f t="shared" si="3"/>
        <v>1.0371991247264769E-3</v>
      </c>
      <c r="I68" s="14" t="s">
        <v>51</v>
      </c>
      <c r="J68" s="15" t="s">
        <v>155</v>
      </c>
      <c r="K68" s="16">
        <f>ROUND(H68*K25,0)</f>
        <v>52</v>
      </c>
      <c r="L68" s="16">
        <f>ROUND(H68*L25,0)</f>
        <v>55</v>
      </c>
      <c r="M68" s="16">
        <f>ROUND(H68*M25,0)</f>
        <v>58</v>
      </c>
      <c r="N68" s="16">
        <f>ROUND(H68*N25,0)</f>
        <v>62</v>
      </c>
      <c r="O68" s="16">
        <f>ROUND(H68*O25,0)</f>
        <v>65</v>
      </c>
      <c r="P68" s="12">
        <f>IFERROR(C68/C25,"")</f>
        <v>0</v>
      </c>
      <c r="Q68" s="12">
        <f>IFERROR(D68/D25,"")</f>
        <v>0</v>
      </c>
      <c r="R68" s="12">
        <f>IFERROR(E68/E25,"")</f>
        <v>0</v>
      </c>
      <c r="S68" s="12">
        <f>IFERROR(F68/F25,"")</f>
        <v>0</v>
      </c>
    </row>
    <row r="69" spans="1:19" ht="15" customHeight="1" x14ac:dyDescent="0.2">
      <c r="A69" s="5" t="s">
        <v>156</v>
      </c>
      <c r="B69" s="5"/>
      <c r="C69" s="5"/>
      <c r="D69" s="5"/>
      <c r="E69" s="5"/>
      <c r="F69" s="5"/>
      <c r="M69" s="10"/>
      <c r="N69" s="10"/>
    </row>
    <row r="70" spans="1:19" ht="15" customHeight="1" x14ac:dyDescent="0.2">
      <c r="A70" s="6" t="s">
        <v>157</v>
      </c>
      <c r="B70" s="11">
        <v>4053</v>
      </c>
      <c r="C70" s="11">
        <v>3587</v>
      </c>
      <c r="D70" s="11">
        <v>3509</v>
      </c>
      <c r="E70" s="11">
        <v>3320</v>
      </c>
      <c r="F70" s="11">
        <v>3373</v>
      </c>
      <c r="G70" s="12">
        <f>IFERROR(B70/B25,"")</f>
        <v>8.8687089715536099E-2</v>
      </c>
      <c r="H70" s="13">
        <f>IFERROR(AVERAGE(G70,P70,Q70,R70,S70),"")</f>
        <v>8.7987570299475182E-2</v>
      </c>
      <c r="I70" s="14" t="s">
        <v>158</v>
      </c>
      <c r="J70" s="15" t="s">
        <v>159</v>
      </c>
      <c r="K70" s="18">
        <f>K59+K61</f>
        <v>4362</v>
      </c>
      <c r="L70" s="18">
        <f>L59+L61</f>
        <v>4737</v>
      </c>
      <c r="M70" s="18">
        <f>M59+M61</f>
        <v>5036</v>
      </c>
      <c r="N70" s="18">
        <f>N59+N61</f>
        <v>5331</v>
      </c>
      <c r="O70" s="18">
        <f>O59+O61</f>
        <v>5629</v>
      </c>
      <c r="P70" s="12">
        <f>IFERROR(C70/C25,"")</f>
        <v>8.117404783996017E-2</v>
      </c>
      <c r="Q70" s="12">
        <f>IFERROR(D70/D25,"")</f>
        <v>8.0574052812858787E-2</v>
      </c>
      <c r="R70" s="12">
        <f>IFERROR(E70/E25,"")</f>
        <v>9.0124328139421256E-2</v>
      </c>
      <c r="S70" s="12">
        <f>IFERROR(F70/F25,"")</f>
        <v>9.9378332989599596E-2</v>
      </c>
    </row>
    <row r="71" spans="1:19" ht="15" customHeight="1" x14ac:dyDescent="0.2">
      <c r="A71" s="5" t="s">
        <v>160</v>
      </c>
      <c r="B71" s="5"/>
      <c r="C71" s="5"/>
      <c r="D71" s="5"/>
      <c r="E71" s="5"/>
      <c r="F71" s="5"/>
      <c r="M71" s="10"/>
      <c r="N71" s="10"/>
    </row>
    <row r="72" spans="1:19" ht="15" customHeight="1" x14ac:dyDescent="0.2">
      <c r="A72" s="17" t="s">
        <v>161</v>
      </c>
      <c r="B72" s="18">
        <f>B73+B76</f>
        <v>1127</v>
      </c>
      <c r="C72" s="18">
        <f>C73+C76</f>
        <v>1030</v>
      </c>
      <c r="D72" s="18">
        <f>D73+D76</f>
        <v>1044</v>
      </c>
      <c r="E72" s="18">
        <f>E73+E76</f>
        <v>968</v>
      </c>
      <c r="F72" s="18">
        <f>F73+F76</f>
        <v>993</v>
      </c>
      <c r="G72" s="12">
        <f>IFERROR(B72/B25,"")</f>
        <v>2.4660831509846826E-2</v>
      </c>
      <c r="H72" s="13">
        <f t="shared" ref="H72:H77" si="4">IFERROR(AVERAGE(G72,P72,Q72,R72,S72),"")</f>
        <v>2.5495222052906961E-2</v>
      </c>
      <c r="I72" s="14" t="s">
        <v>162</v>
      </c>
      <c r="J72" s="15" t="s">
        <v>163</v>
      </c>
      <c r="K72" s="20">
        <f>ROUND(0.28974*K70,0)</f>
        <v>1264</v>
      </c>
      <c r="L72" s="20">
        <f>ROUND(0.28974*L70,0)</f>
        <v>1372</v>
      </c>
      <c r="M72" s="20">
        <f>ROUND(0.28974*M70,0)</f>
        <v>1459</v>
      </c>
      <c r="N72" s="20">
        <f>ROUND(0.28974*N70,0)</f>
        <v>1545</v>
      </c>
      <c r="O72" s="20">
        <f>ROUND(0.28974*O70,0)</f>
        <v>1631</v>
      </c>
      <c r="P72" s="12">
        <f>IFERROR(C72/C25,"")</f>
        <v>2.3308968295277104E-2</v>
      </c>
      <c r="Q72" s="12">
        <f>IFERROR(D72/D25,"")</f>
        <v>2.397244546498278E-2</v>
      </c>
      <c r="R72" s="12">
        <f>IFERROR(E72/E25,"")</f>
        <v>2.6277213746674629E-2</v>
      </c>
      <c r="S72" s="12">
        <f>IFERROR(F72/F25,"")</f>
        <v>2.9256651247753455E-2</v>
      </c>
    </row>
    <row r="73" spans="1:19" ht="15" customHeight="1" x14ac:dyDescent="0.2">
      <c r="A73" s="6" t="s">
        <v>164</v>
      </c>
      <c r="B73" s="11">
        <v>1094</v>
      </c>
      <c r="C73" s="11">
        <v>1021</v>
      </c>
      <c r="D73" s="11">
        <v>991</v>
      </c>
      <c r="E73" s="11">
        <v>886</v>
      </c>
      <c r="F73" s="11">
        <v>975</v>
      </c>
      <c r="G73" s="12">
        <f>IFERROR(B73/B25,"")</f>
        <v>2.3938730853391686E-2</v>
      </c>
      <c r="H73" s="13">
        <f t="shared" si="4"/>
        <v>2.451541053595226E-2</v>
      </c>
      <c r="I73" s="14" t="s">
        <v>165</v>
      </c>
      <c r="J73" s="15" t="s">
        <v>166</v>
      </c>
      <c r="K73" s="16">
        <f>K72</f>
        <v>1264</v>
      </c>
      <c r="L73" s="16">
        <f>L72</f>
        <v>1372</v>
      </c>
      <c r="M73" s="16">
        <f>M72</f>
        <v>1459</v>
      </c>
      <c r="N73" s="16">
        <f>N72</f>
        <v>1545</v>
      </c>
      <c r="O73" s="16">
        <f>O72</f>
        <v>1631</v>
      </c>
      <c r="P73" s="12">
        <f>IFERROR(C73/C25,"")</f>
        <v>2.3105297698522258E-2</v>
      </c>
      <c r="Q73" s="12">
        <f>IFERROR(D73/D25,"")</f>
        <v>2.2755453501722159E-2</v>
      </c>
      <c r="R73" s="12">
        <f>IFERROR(E73/E25,"")</f>
        <v>2.4051251425158803E-2</v>
      </c>
      <c r="S73" s="12">
        <f>IFERROR(F73/F25,"")</f>
        <v>2.8726319200966383E-2</v>
      </c>
    </row>
    <row r="74" spans="1:19" ht="15" customHeight="1" x14ac:dyDescent="0.2">
      <c r="A74" s="6" t="s">
        <v>167</v>
      </c>
      <c r="B74" s="11">
        <v>1110</v>
      </c>
      <c r="C74" s="11">
        <v>1060</v>
      </c>
      <c r="D74" s="11">
        <v>994</v>
      </c>
      <c r="E74" s="11">
        <v>857</v>
      </c>
      <c r="F74" s="11">
        <v>996</v>
      </c>
      <c r="G74" s="12">
        <f>IFERROR(B74/B25,"")</f>
        <v>2.4288840262582056E-2</v>
      </c>
      <c r="H74" s="13">
        <f t="shared" si="4"/>
        <v>2.4742022231312506E-2</v>
      </c>
      <c r="I74" s="14" t="s">
        <v>51</v>
      </c>
      <c r="J74" s="15" t="s">
        <v>168</v>
      </c>
      <c r="K74" s="16">
        <f>ROUND(H74*K25,0)</f>
        <v>1240</v>
      </c>
      <c r="L74" s="16">
        <f>ROUND(H74*L25,0)</f>
        <v>1316</v>
      </c>
      <c r="M74" s="16">
        <f>ROUND(H74*M25,0)</f>
        <v>1392</v>
      </c>
      <c r="N74" s="16">
        <f>ROUND(H74*N25,0)</f>
        <v>1469</v>
      </c>
      <c r="O74" s="16">
        <f>ROUND(H74*O25,0)</f>
        <v>1545</v>
      </c>
      <c r="P74" s="12">
        <f>IFERROR(C74/C25,"")</f>
        <v>2.3987870284459933E-2</v>
      </c>
      <c r="Q74" s="12">
        <f>IFERROR(D74/D25,"")</f>
        <v>2.2824339839265212E-2</v>
      </c>
      <c r="R74" s="12">
        <f>IFERROR(E74/E25,"")</f>
        <v>2.3264020848037352E-2</v>
      </c>
      <c r="S74" s="12">
        <f>IFERROR(F74/F25,"")</f>
        <v>2.9345039922217965E-2</v>
      </c>
    </row>
    <row r="75" spans="1:19" ht="15" customHeight="1" x14ac:dyDescent="0.2">
      <c r="A75" s="6" t="s">
        <v>169</v>
      </c>
      <c r="B75" s="11">
        <v>-16</v>
      </c>
      <c r="C75" s="11">
        <v>-39</v>
      </c>
      <c r="D75" s="11">
        <v>-3</v>
      </c>
      <c r="E75" s="11">
        <v>29</v>
      </c>
      <c r="F75" s="11">
        <v>-21</v>
      </c>
      <c r="G75" s="12">
        <f>IFERROR(B75/B25,"")</f>
        <v>-3.5010940919037199E-4</v>
      </c>
      <c r="H75" s="13">
        <f t="shared" si="4"/>
        <v>-2.2661169536024715E-4</v>
      </c>
      <c r="I75" s="14" t="s">
        <v>51</v>
      </c>
      <c r="J75" s="15" t="s">
        <v>170</v>
      </c>
      <c r="K75" s="16">
        <f>ROUND(H75*K25,0)</f>
        <v>-11</v>
      </c>
      <c r="L75" s="16">
        <f>ROUND(H75*L25,0)</f>
        <v>-12</v>
      </c>
      <c r="M75" s="16">
        <f>ROUND(H75*M25,0)</f>
        <v>-13</v>
      </c>
      <c r="N75" s="16">
        <f>ROUND(H75*N25,0)</f>
        <v>-13</v>
      </c>
      <c r="O75" s="16">
        <f>ROUND(H75*O25,0)</f>
        <v>-14</v>
      </c>
      <c r="P75" s="12">
        <f>IFERROR(C75/C25,"")</f>
        <v>-8.8257258593767683E-4</v>
      </c>
      <c r="Q75" s="12">
        <f>IFERROR(D75/D25,"")</f>
        <v>-6.8886337543053964E-5</v>
      </c>
      <c r="R75" s="12">
        <f>IFERROR(E75/E25,"")</f>
        <v>7.8723057712145066E-4</v>
      </c>
      <c r="S75" s="12">
        <f>IFERROR(F75/F25,"")</f>
        <v>-6.1872072125158364E-4</v>
      </c>
    </row>
    <row r="76" spans="1:19" ht="15" customHeight="1" x14ac:dyDescent="0.2">
      <c r="A76" s="6" t="s">
        <v>171</v>
      </c>
      <c r="B76" s="11">
        <v>33</v>
      </c>
      <c r="C76" s="11">
        <v>9</v>
      </c>
      <c r="D76" s="11">
        <v>53</v>
      </c>
      <c r="E76" s="11">
        <v>82</v>
      </c>
      <c r="F76" s="11">
        <v>18</v>
      </c>
      <c r="G76" s="12">
        <f>IFERROR(B76/B25,"")</f>
        <v>7.2210065645514224E-4</v>
      </c>
      <c r="H76" s="13">
        <f t="shared" si="4"/>
        <v>9.7981151695470141E-4</v>
      </c>
      <c r="I76" s="14" t="s">
        <v>51</v>
      </c>
      <c r="J76" s="15" t="s">
        <v>172</v>
      </c>
      <c r="K76" s="16">
        <f>ROUND(H76*K25,0)</f>
        <v>49</v>
      </c>
      <c r="L76" s="16">
        <f>ROUND(H76*L25,0)</f>
        <v>52</v>
      </c>
      <c r="M76" s="16">
        <f>ROUND(H76*M25,0)</f>
        <v>55</v>
      </c>
      <c r="N76" s="16">
        <f>ROUND(H76*N25,0)</f>
        <v>58</v>
      </c>
      <c r="O76" s="16">
        <f>ROUND(H76*O25,0)</f>
        <v>61</v>
      </c>
      <c r="P76" s="12">
        <f>IFERROR(C76/C25,"")</f>
        <v>2.0367059675484848E-4</v>
      </c>
      <c r="Q76" s="12">
        <f>IFERROR(D76/D25,"")</f>
        <v>1.2169919632606199E-3</v>
      </c>
      <c r="R76" s="12">
        <f>IFERROR(E76/E25,"")</f>
        <v>2.2259623215158258E-3</v>
      </c>
      <c r="S76" s="12">
        <f>IFERROR(F76/F25,"")</f>
        <v>5.3033204678707173E-4</v>
      </c>
    </row>
    <row r="77" spans="1:19" ht="15" customHeight="1" x14ac:dyDescent="0.2">
      <c r="A77" s="6" t="s">
        <v>173</v>
      </c>
      <c r="B77" s="11">
        <v>33</v>
      </c>
      <c r="C77" s="11">
        <v>9</v>
      </c>
      <c r="D77" s="11">
        <v>53</v>
      </c>
      <c r="E77" s="11">
        <v>82</v>
      </c>
      <c r="F77" s="11">
        <v>18</v>
      </c>
      <c r="G77" s="12">
        <f>IFERROR(B77/B25,"")</f>
        <v>7.2210065645514224E-4</v>
      </c>
      <c r="H77" s="13">
        <f t="shared" si="4"/>
        <v>9.7981151695470141E-4</v>
      </c>
      <c r="I77" s="14" t="s">
        <v>174</v>
      </c>
      <c r="J77" s="15" t="s">
        <v>175</v>
      </c>
      <c r="K77" s="16">
        <f>K76</f>
        <v>49</v>
      </c>
      <c r="L77" s="16">
        <f>L76</f>
        <v>52</v>
      </c>
      <c r="M77" s="16">
        <f>M76</f>
        <v>55</v>
      </c>
      <c r="N77" s="16">
        <f>N76</f>
        <v>58</v>
      </c>
      <c r="O77" s="16">
        <f>O76</f>
        <v>61</v>
      </c>
      <c r="P77" s="12">
        <f>IFERROR(C77/C25,"")</f>
        <v>2.0367059675484848E-4</v>
      </c>
      <c r="Q77" s="12">
        <f>IFERROR(D77/D25,"")</f>
        <v>1.2169919632606199E-3</v>
      </c>
      <c r="R77" s="12">
        <f>IFERROR(E77/E25,"")</f>
        <v>2.2259623215158258E-3</v>
      </c>
      <c r="S77" s="12">
        <f>IFERROR(F77/F25,"")</f>
        <v>5.3033204678707173E-4</v>
      </c>
    </row>
    <row r="78" spans="1:19" ht="15" customHeight="1" x14ac:dyDescent="0.2">
      <c r="A78" s="5" t="s">
        <v>176</v>
      </c>
      <c r="B78" s="5"/>
      <c r="C78" s="5"/>
      <c r="D78" s="5"/>
      <c r="E78" s="5"/>
      <c r="F78" s="5"/>
      <c r="M78" s="10"/>
      <c r="N78" s="10"/>
    </row>
    <row r="79" spans="1:19" ht="15" customHeight="1" x14ac:dyDescent="0.2">
      <c r="A79" s="17" t="s">
        <v>177</v>
      </c>
      <c r="B79" s="18">
        <v>2926</v>
      </c>
      <c r="C79" s="18">
        <v>2557</v>
      </c>
      <c r="D79" s="18">
        <v>2465</v>
      </c>
      <c r="E79" s="18">
        <v>2352</v>
      </c>
      <c r="F79" s="18">
        <v>2380</v>
      </c>
      <c r="G79" s="12">
        <f>IFERROR(B79/B25,"")</f>
        <v>6.4026258205689274E-2</v>
      </c>
      <c r="H79" s="13">
        <f>IFERROR(AVERAGE(G79,P79,Q79,R79,S79),"")</f>
        <v>6.249234824656822E-2</v>
      </c>
      <c r="I79" s="14" t="s">
        <v>178</v>
      </c>
      <c r="J79" s="15" t="s">
        <v>179</v>
      </c>
      <c r="K79" s="22">
        <f>K70-K72</f>
        <v>3098</v>
      </c>
      <c r="L79" s="22">
        <f>L70-L72</f>
        <v>3365</v>
      </c>
      <c r="M79" s="22">
        <f>M70-M72</f>
        <v>3577</v>
      </c>
      <c r="N79" s="22">
        <f>N70-N72</f>
        <v>3786</v>
      </c>
      <c r="O79" s="22">
        <f>O70-O72</f>
        <v>3998</v>
      </c>
      <c r="P79" s="12">
        <f>IFERROR(C79/C25,"")</f>
        <v>5.7865079544683069E-2</v>
      </c>
      <c r="Q79" s="12">
        <f>IFERROR(D79/D25,"")</f>
        <v>5.6601607347876004E-2</v>
      </c>
      <c r="R79" s="12">
        <f>IFERROR(E79/E25,"")</f>
        <v>6.3847114392746623E-2</v>
      </c>
      <c r="S79" s="12">
        <f>IFERROR(F79/F25,"")</f>
        <v>7.0121681741846145E-2</v>
      </c>
    </row>
    <row r="80" spans="1:19" ht="15" customHeight="1" x14ac:dyDescent="0.2">
      <c r="A80" s="5" t="s">
        <v>180</v>
      </c>
      <c r="B80" s="5"/>
      <c r="C80" s="5"/>
      <c r="D80" s="5"/>
      <c r="E80" s="5"/>
      <c r="F80" s="5"/>
      <c r="M80" s="10"/>
      <c r="N80" s="10"/>
    </row>
    <row r="81" spans="1:19" ht="15" customHeight="1" x14ac:dyDescent="0.2">
      <c r="A81" s="17" t="s">
        <v>181</v>
      </c>
      <c r="B81" s="18">
        <v>2926</v>
      </c>
      <c r="C81" s="18">
        <v>2557</v>
      </c>
      <c r="D81" s="18">
        <v>2465</v>
      </c>
      <c r="E81" s="18">
        <v>2352</v>
      </c>
      <c r="F81" s="18">
        <v>2380</v>
      </c>
      <c r="G81" s="12">
        <f>IFERROR(B81/B25,"")</f>
        <v>6.4026258205689274E-2</v>
      </c>
      <c r="H81" s="13">
        <f>IFERROR(AVERAGE(G81,P81,Q81,R81,S81),"")</f>
        <v>6.249234824656822E-2</v>
      </c>
      <c r="I81" s="14" t="s">
        <v>182</v>
      </c>
      <c r="J81" s="15" t="s">
        <v>183</v>
      </c>
      <c r="K81" s="16">
        <f>K79</f>
        <v>3098</v>
      </c>
      <c r="L81" s="16">
        <f>L79</f>
        <v>3365</v>
      </c>
      <c r="M81" s="16">
        <f>M79</f>
        <v>3577</v>
      </c>
      <c r="N81" s="16">
        <f>N79</f>
        <v>3786</v>
      </c>
      <c r="O81" s="16">
        <f>O79</f>
        <v>3998</v>
      </c>
      <c r="P81" s="12">
        <f>IFERROR(C81/C25,"")</f>
        <v>5.7865079544683069E-2</v>
      </c>
      <c r="Q81" s="12">
        <f>IFERROR(D81/D25,"")</f>
        <v>5.6601607347876004E-2</v>
      </c>
      <c r="R81" s="12">
        <f>IFERROR(E81/E25,"")</f>
        <v>6.3847114392746623E-2</v>
      </c>
      <c r="S81" s="12">
        <f>IFERROR(F81/F25,"")</f>
        <v>7.0121681741846145E-2</v>
      </c>
    </row>
    <row r="82" spans="1:19" ht="15" customHeight="1" x14ac:dyDescent="0.2">
      <c r="A82" s="6" t="s">
        <v>184</v>
      </c>
      <c r="B82" s="6"/>
      <c r="C82" s="6"/>
      <c r="D82" s="6"/>
      <c r="E82" s="6"/>
      <c r="F82" s="11">
        <v>0</v>
      </c>
      <c r="G82" s="12">
        <f>IFERROR(B82/B25,"")</f>
        <v>0</v>
      </c>
      <c r="H82" s="13">
        <f>IFERROR(AVERAGE(G82,P82,Q82,R82,S82),"")</f>
        <v>0</v>
      </c>
      <c r="I82" s="14" t="s">
        <v>135</v>
      </c>
      <c r="J82" s="15" t="s">
        <v>136</v>
      </c>
      <c r="K82" s="12"/>
      <c r="L82" s="12"/>
      <c r="M82" s="14"/>
      <c r="N82" s="15"/>
      <c r="P82" s="12">
        <f>IFERROR(C82/C25,"")</f>
        <v>0</v>
      </c>
      <c r="Q82" s="12">
        <f>IFERROR(D82/D25,"")</f>
        <v>0</v>
      </c>
      <c r="R82" s="12">
        <f>IFERROR(E82/E25,"")</f>
        <v>0</v>
      </c>
      <c r="S82" s="12">
        <f>IFERROR(F82/F25,"")</f>
        <v>0</v>
      </c>
    </row>
    <row r="83" spans="1:19" ht="15" customHeight="1" x14ac:dyDescent="0.2">
      <c r="A83" s="6" t="s">
        <v>185</v>
      </c>
      <c r="B83" s="6"/>
      <c r="C83" s="6"/>
      <c r="D83" s="6"/>
      <c r="E83" s="6"/>
      <c r="F83" s="11">
        <v>0</v>
      </c>
      <c r="G83" s="12">
        <f>IFERROR(B83/B25,"")</f>
        <v>0</v>
      </c>
      <c r="H83" s="13">
        <f>IFERROR(AVERAGE(G83,P83,Q83,R83,S83),"")</f>
        <v>0</v>
      </c>
      <c r="I83" s="14" t="s">
        <v>135</v>
      </c>
      <c r="J83" s="15" t="s">
        <v>136</v>
      </c>
      <c r="K83" s="12"/>
      <c r="L83" s="12"/>
      <c r="M83" s="14"/>
      <c r="N83" s="15"/>
      <c r="P83" s="12">
        <f>IFERROR(C83/C25,"")</f>
        <v>0</v>
      </c>
      <c r="Q83" s="12">
        <f>IFERROR(D83/D25,"")</f>
        <v>0</v>
      </c>
      <c r="R83" s="12">
        <f>IFERROR(E83/E25,"")</f>
        <v>0</v>
      </c>
      <c r="S83" s="12">
        <f>IFERROR(F83/F25,"")</f>
        <v>0</v>
      </c>
    </row>
    <row r="84" spans="1:19" ht="15" customHeight="1" x14ac:dyDescent="0.2">
      <c r="A84" s="17" t="s">
        <v>186</v>
      </c>
      <c r="B84" s="18">
        <f>B81+B82+B83</f>
        <v>2926</v>
      </c>
      <c r="C84" s="18">
        <f>C81+C82+C83</f>
        <v>2557</v>
      </c>
      <c r="D84" s="18">
        <f>D81+D82+D83</f>
        <v>2465</v>
      </c>
      <c r="E84" s="18">
        <f>E81+E82+E83</f>
        <v>2352</v>
      </c>
      <c r="F84" s="18">
        <f>F81+F82+F83</f>
        <v>2380</v>
      </c>
      <c r="G84" s="12">
        <f>IFERROR(B84/B25,"")</f>
        <v>6.4026258205689274E-2</v>
      </c>
      <c r="H84" s="13">
        <f>IFERROR(AVERAGE(G84,P84,Q84,R84,S84),"")</f>
        <v>6.249234824656822E-2</v>
      </c>
      <c r="I84" s="14" t="s">
        <v>187</v>
      </c>
      <c r="J84" s="15" t="s">
        <v>188</v>
      </c>
      <c r="K84" s="21">
        <f>K81+K82+K83</f>
        <v>3098</v>
      </c>
      <c r="L84" s="21">
        <f>L81+L82+L83</f>
        <v>3365</v>
      </c>
      <c r="M84" s="21">
        <f>M81+M82+M83</f>
        <v>3577</v>
      </c>
      <c r="N84" s="21">
        <f>N81+N82+N83</f>
        <v>3786</v>
      </c>
      <c r="O84" s="21">
        <f>O81+O82+O83</f>
        <v>3998</v>
      </c>
      <c r="P84" s="12">
        <f>IFERROR(C84/C25,"")</f>
        <v>5.7865079544683069E-2</v>
      </c>
      <c r="Q84" s="12">
        <f>IFERROR(D84/D25,"")</f>
        <v>5.6601607347876004E-2</v>
      </c>
      <c r="R84" s="12">
        <f>IFERROR(E84/E25,"")</f>
        <v>6.3847114392746623E-2</v>
      </c>
      <c r="S84" s="12">
        <f>IFERROR(F84/F25,"")</f>
        <v>7.0121681741846145E-2</v>
      </c>
    </row>
    <row r="85" spans="1:19" ht="15" customHeight="1" x14ac:dyDescent="0.2">
      <c r="A85" s="17" t="s">
        <v>189</v>
      </c>
      <c r="B85" s="18">
        <v>2926</v>
      </c>
      <c r="C85" s="18">
        <v>2557</v>
      </c>
      <c r="D85" s="18">
        <v>2465</v>
      </c>
      <c r="E85" s="18">
        <v>2352</v>
      </c>
      <c r="F85" s="18">
        <v>2380</v>
      </c>
      <c r="G85" s="12">
        <f>IFERROR(B85/B25,"")</f>
        <v>6.4026258205689274E-2</v>
      </c>
      <c r="H85" s="13">
        <f>IFERROR(AVERAGE(G85,P85,Q85,R85,S85),"")</f>
        <v>6.249234824656822E-2</v>
      </c>
      <c r="I85" s="14" t="s">
        <v>190</v>
      </c>
      <c r="J85" s="15" t="s">
        <v>191</v>
      </c>
      <c r="K85" s="16">
        <f>K84</f>
        <v>3098</v>
      </c>
      <c r="L85" s="16">
        <f>L84</f>
        <v>3365</v>
      </c>
      <c r="M85" s="16">
        <f>M84</f>
        <v>3577</v>
      </c>
      <c r="N85" s="16">
        <f>N84</f>
        <v>3786</v>
      </c>
      <c r="O85" s="16">
        <f>O84</f>
        <v>3998</v>
      </c>
      <c r="P85" s="12">
        <f>IFERROR(C85/C25,"")</f>
        <v>5.7865079544683069E-2</v>
      </c>
      <c r="Q85" s="12">
        <f>IFERROR(D85/D25,"")</f>
        <v>5.6601607347876004E-2</v>
      </c>
      <c r="R85" s="12">
        <f>IFERROR(E85/E25,"")</f>
        <v>6.3847114392746623E-2</v>
      </c>
      <c r="S85" s="12">
        <f>IFERROR(F85/F25,"")</f>
        <v>7.0121681741846145E-2</v>
      </c>
    </row>
    <row r="86" spans="1:19" ht="15" customHeight="1" x14ac:dyDescent="0.2">
      <c r="A86" s="5" t="s">
        <v>192</v>
      </c>
      <c r="B86" s="5"/>
      <c r="C86" s="5"/>
      <c r="D86" s="5"/>
      <c r="E86" s="5"/>
      <c r="F86" s="5"/>
      <c r="M86" s="10"/>
      <c r="N86" s="10"/>
    </row>
    <row r="87" spans="1:19" ht="15" customHeight="1" x14ac:dyDescent="0.2">
      <c r="A87" s="17" t="s">
        <v>193</v>
      </c>
      <c r="B87" s="18">
        <v>2926</v>
      </c>
      <c r="C87" s="18">
        <v>2557</v>
      </c>
      <c r="D87" s="18">
        <v>2465</v>
      </c>
      <c r="E87" s="18">
        <v>2352</v>
      </c>
      <c r="F87" s="18">
        <v>2380</v>
      </c>
      <c r="G87" s="12">
        <f>IFERROR(B87/B25,"")</f>
        <v>6.4026258205689274E-2</v>
      </c>
      <c r="H87" s="13">
        <f>IFERROR(AVERAGE(G87,P87,Q87,R87,S87),"")</f>
        <v>6.249234824656822E-2</v>
      </c>
      <c r="I87" s="14" t="s">
        <v>182</v>
      </c>
      <c r="J87" s="15" t="s">
        <v>183</v>
      </c>
      <c r="K87" s="16">
        <f>K79</f>
        <v>3098</v>
      </c>
      <c r="L87" s="16">
        <f>L79</f>
        <v>3365</v>
      </c>
      <c r="M87" s="16">
        <f>M79</f>
        <v>3577</v>
      </c>
      <c r="N87" s="16">
        <f>N79</f>
        <v>3786</v>
      </c>
      <c r="O87" s="16">
        <f>O79</f>
        <v>3998</v>
      </c>
      <c r="P87" s="12">
        <f>IFERROR(C87/C25,"")</f>
        <v>5.7865079544683069E-2</v>
      </c>
      <c r="Q87" s="12">
        <f>IFERROR(D87/D25,"")</f>
        <v>5.6601607347876004E-2</v>
      </c>
      <c r="R87" s="12">
        <f>IFERROR(E87/E25,"")</f>
        <v>6.3847114392746623E-2</v>
      </c>
      <c r="S87" s="12">
        <f>IFERROR(F87/F25,"")</f>
        <v>7.0121681741846145E-2</v>
      </c>
    </row>
    <row r="88" spans="1:19" ht="15" customHeight="1" x14ac:dyDescent="0.2">
      <c r="A88" s="5" t="s">
        <v>194</v>
      </c>
      <c r="B88" s="5"/>
      <c r="C88" s="5"/>
      <c r="D88" s="5"/>
      <c r="E88" s="5"/>
      <c r="F88" s="5"/>
      <c r="M88" s="10"/>
      <c r="N88" s="10"/>
    </row>
    <row r="89" spans="1:19" ht="15" customHeight="1" x14ac:dyDescent="0.2">
      <c r="A89" s="6" t="s">
        <v>195</v>
      </c>
      <c r="B89" s="11">
        <v>2926</v>
      </c>
      <c r="C89" s="11">
        <v>2557</v>
      </c>
      <c r="D89" s="11">
        <v>2465</v>
      </c>
      <c r="E89" s="11">
        <v>2352</v>
      </c>
      <c r="F89" s="11">
        <v>2380</v>
      </c>
      <c r="G89" s="12">
        <f>IFERROR(B89/B25,"")</f>
        <v>6.4026258205689274E-2</v>
      </c>
      <c r="H89" s="13">
        <f t="shared" ref="H89:H101" si="5">IFERROR(AVERAGE(G89,P89,Q89,R89,S89),"")</f>
        <v>6.249234824656822E-2</v>
      </c>
      <c r="I89" s="14" t="s">
        <v>182</v>
      </c>
      <c r="J89" s="15" t="s">
        <v>183</v>
      </c>
      <c r="K89" s="16">
        <f>K79</f>
        <v>3098</v>
      </c>
      <c r="L89" s="16">
        <f>L79</f>
        <v>3365</v>
      </c>
      <c r="M89" s="16">
        <f>M79</f>
        <v>3577</v>
      </c>
      <c r="N89" s="16">
        <f>N79</f>
        <v>3786</v>
      </c>
      <c r="O89" s="16">
        <f>O79</f>
        <v>3998</v>
      </c>
      <c r="P89" s="12">
        <f>IFERROR(C89/C25,"")</f>
        <v>5.7865079544683069E-2</v>
      </c>
      <c r="Q89" s="12">
        <f>IFERROR(D89/D25,"")</f>
        <v>5.6601607347876004E-2</v>
      </c>
      <c r="R89" s="12">
        <f>IFERROR(E89/E25,"")</f>
        <v>6.3847114392746623E-2</v>
      </c>
      <c r="S89" s="12">
        <f>IFERROR(F89/F25,"")</f>
        <v>7.0121681741846145E-2</v>
      </c>
    </row>
    <row r="90" spans="1:19" ht="15" customHeight="1" x14ac:dyDescent="0.2">
      <c r="A90" s="6" t="s">
        <v>196</v>
      </c>
      <c r="B90" s="11">
        <v>6</v>
      </c>
      <c r="C90" s="11">
        <v>-4</v>
      </c>
      <c r="D90" s="11">
        <v>5</v>
      </c>
      <c r="E90" s="11">
        <v>-11</v>
      </c>
      <c r="F90" s="11">
        <v>-8</v>
      </c>
      <c r="G90" s="12">
        <f>IFERROR(B90/B25,"")</f>
        <v>1.3129102844638949E-4</v>
      </c>
      <c r="H90" s="13">
        <f t="shared" si="5"/>
        <v>-7.5745301555670667E-5</v>
      </c>
      <c r="I90" s="14" t="s">
        <v>51</v>
      </c>
      <c r="J90" s="15" t="s">
        <v>197</v>
      </c>
      <c r="K90" s="16">
        <f>ROUND(H90*K25,0)</f>
        <v>-4</v>
      </c>
      <c r="L90" s="16">
        <f>ROUND(H90*L25,0)</f>
        <v>-4</v>
      </c>
      <c r="M90" s="16">
        <f>ROUND(H90*M25,0)</f>
        <v>-4</v>
      </c>
      <c r="N90" s="16">
        <f>ROUND(H90*N25,0)</f>
        <v>-4</v>
      </c>
      <c r="O90" s="16">
        <f>ROUND(H90*O25,0)</f>
        <v>-5</v>
      </c>
      <c r="P90" s="12">
        <f>IFERROR(C90/C25,"")</f>
        <v>-9.0520265224377109E-5</v>
      </c>
      <c r="Q90" s="12">
        <f>IFERROR(D90/D25,"")</f>
        <v>1.148105625717566E-4</v>
      </c>
      <c r="R90" s="12">
        <f>IFERROR(E90/E25,"")</f>
        <v>-2.9860470166675714E-4</v>
      </c>
      <c r="S90" s="12">
        <f>IFERROR(F90/F25,"")</f>
        <v>-2.3570313190536519E-4</v>
      </c>
    </row>
    <row r="91" spans="1:19" ht="15" customHeight="1" x14ac:dyDescent="0.2">
      <c r="A91" s="6" t="s">
        <v>198</v>
      </c>
      <c r="B91" s="6"/>
      <c r="C91" s="11">
        <v>0</v>
      </c>
      <c r="D91" s="11">
        <v>24</v>
      </c>
      <c r="E91" s="11">
        <v>43</v>
      </c>
      <c r="F91" s="11">
        <v>-3</v>
      </c>
      <c r="G91" s="12">
        <f>IFERROR(B91/B25,"")</f>
        <v>0</v>
      </c>
      <c r="H91" s="13">
        <f t="shared" si="5"/>
        <v>3.2599499011544864E-4</v>
      </c>
      <c r="I91" s="14" t="s">
        <v>135</v>
      </c>
      <c r="J91" s="15" t="s">
        <v>136</v>
      </c>
      <c r="K91" s="12"/>
      <c r="L91" s="12"/>
      <c r="M91" s="14"/>
      <c r="N91" s="15"/>
      <c r="P91" s="12">
        <f>IFERROR(C91/C25,"")</f>
        <v>0</v>
      </c>
      <c r="Q91" s="12">
        <f>IFERROR(D91/D25,"")</f>
        <v>5.5109070034443171E-4</v>
      </c>
      <c r="R91" s="12">
        <f>IFERROR(E91/E25,"")</f>
        <v>1.1672729246973235E-3</v>
      </c>
      <c r="S91" s="12">
        <f>IFERROR(F91/F25,"")</f>
        <v>-8.8388674464511945E-5</v>
      </c>
    </row>
    <row r="92" spans="1:19" ht="15" customHeight="1" x14ac:dyDescent="0.2">
      <c r="A92" s="6" t="s">
        <v>199</v>
      </c>
      <c r="B92" s="11">
        <v>77</v>
      </c>
      <c r="C92" s="11">
        <v>77</v>
      </c>
      <c r="D92" s="11">
        <v>-99</v>
      </c>
      <c r="E92" s="11">
        <v>111</v>
      </c>
      <c r="F92" s="11">
        <v>117</v>
      </c>
      <c r="G92" s="12">
        <f>IFERROR(B92/B25,"")</f>
        <v>1.6849015317286652E-3</v>
      </c>
      <c r="H92" s="13">
        <f t="shared" si="5"/>
        <v>1.522903740226077E-3</v>
      </c>
      <c r="I92" s="14" t="s">
        <v>51</v>
      </c>
      <c r="J92" s="15" t="s">
        <v>200</v>
      </c>
      <c r="K92" s="16">
        <f>ROUND(H92*K25,0)</f>
        <v>76</v>
      </c>
      <c r="L92" s="16">
        <f>ROUND(H92*L25,0)</f>
        <v>81</v>
      </c>
      <c r="M92" s="16">
        <f>ROUND(H92*M25,0)</f>
        <v>86</v>
      </c>
      <c r="N92" s="16">
        <f>ROUND(H92*N25,0)</f>
        <v>90</v>
      </c>
      <c r="O92" s="16">
        <f>ROUND(H92*O25,0)</f>
        <v>95</v>
      </c>
      <c r="P92" s="12">
        <f>IFERROR(C92/C25,"")</f>
        <v>1.7425151055692593E-3</v>
      </c>
      <c r="Q92" s="12">
        <f>IFERROR(D92/D25,"")</f>
        <v>-2.2732491389207809E-3</v>
      </c>
      <c r="R92" s="12">
        <f>IFERROR(E92/E25,"")</f>
        <v>3.0131928986372766E-3</v>
      </c>
      <c r="S92" s="12">
        <f>IFERROR(F92/F25,"")</f>
        <v>3.447158304115966E-3</v>
      </c>
    </row>
    <row r="93" spans="1:19" ht="15" customHeight="1" x14ac:dyDescent="0.2">
      <c r="A93" s="6" t="s">
        <v>201</v>
      </c>
      <c r="B93" s="6"/>
      <c r="C93" s="6"/>
      <c r="D93" s="6"/>
      <c r="E93" s="11">
        <v>0</v>
      </c>
      <c r="F93" s="11">
        <v>0</v>
      </c>
      <c r="G93" s="12">
        <f>IFERROR(B93/B25,"")</f>
        <v>0</v>
      </c>
      <c r="H93" s="13">
        <f t="shared" si="5"/>
        <v>0</v>
      </c>
      <c r="I93" s="14" t="s">
        <v>135</v>
      </c>
      <c r="J93" s="15" t="s">
        <v>136</v>
      </c>
      <c r="K93" s="12"/>
      <c r="L93" s="12"/>
      <c r="M93" s="14"/>
      <c r="N93" s="15"/>
      <c r="P93" s="12">
        <f>IFERROR(C93/C25,"")</f>
        <v>0</v>
      </c>
      <c r="Q93" s="12">
        <f>IFERROR(D93/D25,"")</f>
        <v>0</v>
      </c>
      <c r="R93" s="12">
        <f>IFERROR(E93/E25,"")</f>
        <v>0</v>
      </c>
      <c r="S93" s="12">
        <f>IFERROR(F93/F25,"")</f>
        <v>0</v>
      </c>
    </row>
    <row r="94" spans="1:19" ht="15" customHeight="1" x14ac:dyDescent="0.2">
      <c r="A94" s="6" t="s">
        <v>202</v>
      </c>
      <c r="B94" s="6"/>
      <c r="C94" s="6"/>
      <c r="D94" s="6"/>
      <c r="E94" s="6"/>
      <c r="F94" s="11">
        <v>0</v>
      </c>
      <c r="G94" s="12">
        <f>IFERROR(B94/B25,"")</f>
        <v>0</v>
      </c>
      <c r="H94" s="13">
        <f t="shared" si="5"/>
        <v>0</v>
      </c>
      <c r="I94" s="14" t="s">
        <v>135</v>
      </c>
      <c r="J94" s="15" t="s">
        <v>136</v>
      </c>
      <c r="K94" s="12"/>
      <c r="L94" s="12"/>
      <c r="M94" s="14"/>
      <c r="N94" s="15"/>
      <c r="P94" s="12">
        <f>IFERROR(C94/C25,"")</f>
        <v>0</v>
      </c>
      <c r="Q94" s="12">
        <f>IFERROR(D94/D25,"")</f>
        <v>0</v>
      </c>
      <c r="R94" s="12">
        <f>IFERROR(E94/E25,"")</f>
        <v>0</v>
      </c>
      <c r="S94" s="12">
        <f>IFERROR(F94/F25,"")</f>
        <v>0</v>
      </c>
    </row>
    <row r="95" spans="1:19" ht="15" customHeight="1" x14ac:dyDescent="0.2">
      <c r="A95" s="6" t="s">
        <v>203</v>
      </c>
      <c r="B95" s="11">
        <v>0</v>
      </c>
      <c r="C95" s="11">
        <v>-2</v>
      </c>
      <c r="D95" s="11">
        <v>8</v>
      </c>
      <c r="E95" s="11">
        <v>5</v>
      </c>
      <c r="F95" s="11">
        <v>5</v>
      </c>
      <c r="G95" s="12">
        <f>IFERROR(B95/B25,"")</f>
        <v>0</v>
      </c>
      <c r="H95" s="13">
        <f t="shared" si="5"/>
        <v>8.4296126958400235E-5</v>
      </c>
      <c r="I95" s="14" t="s">
        <v>204</v>
      </c>
      <c r="J95" s="15" t="s">
        <v>136</v>
      </c>
      <c r="K95" s="12"/>
      <c r="L95" s="12"/>
      <c r="M95" s="14"/>
      <c r="N95" s="15"/>
      <c r="P95" s="12">
        <f>IFERROR(C95/C25,"")</f>
        <v>-4.5260132612188554E-5</v>
      </c>
      <c r="Q95" s="12">
        <f>IFERROR(D95/D25,"")</f>
        <v>1.8369690011481055E-4</v>
      </c>
      <c r="R95" s="12">
        <f>IFERROR(E95/E25,"")</f>
        <v>1.3572940984852598E-4</v>
      </c>
      <c r="S95" s="12">
        <f>IFERROR(F95/F25,"")</f>
        <v>1.4731445744085324E-4</v>
      </c>
    </row>
    <row r="96" spans="1:19" ht="15" customHeight="1" x14ac:dyDescent="0.2">
      <c r="A96" s="6" t="s">
        <v>205</v>
      </c>
      <c r="B96" s="6"/>
      <c r="C96" s="6"/>
      <c r="D96" s="6"/>
      <c r="E96" s="11">
        <v>0</v>
      </c>
      <c r="F96" s="11">
        <v>0</v>
      </c>
      <c r="G96" s="12">
        <f>IFERROR(B96/B25,"")</f>
        <v>0</v>
      </c>
      <c r="H96" s="13">
        <f t="shared" si="5"/>
        <v>0</v>
      </c>
      <c r="I96" s="14" t="s">
        <v>135</v>
      </c>
      <c r="J96" s="15" t="s">
        <v>136</v>
      </c>
      <c r="K96" s="12"/>
      <c r="L96" s="12"/>
      <c r="M96" s="14"/>
      <c r="N96" s="15"/>
      <c r="P96" s="12">
        <f>IFERROR(C96/C25,"")</f>
        <v>0</v>
      </c>
      <c r="Q96" s="12">
        <f>IFERROR(D96/D25,"")</f>
        <v>0</v>
      </c>
      <c r="R96" s="12">
        <f>IFERROR(E96/E25,"")</f>
        <v>0</v>
      </c>
      <c r="S96" s="12">
        <f>IFERROR(F96/F25,"")</f>
        <v>0</v>
      </c>
    </row>
    <row r="97" spans="1:19" ht="15" customHeight="1" x14ac:dyDescent="0.2">
      <c r="A97" s="6" t="s">
        <v>206</v>
      </c>
      <c r="B97" s="11">
        <v>-23</v>
      </c>
      <c r="C97" s="11">
        <v>-23</v>
      </c>
      <c r="D97" s="11">
        <v>22</v>
      </c>
      <c r="E97" s="11">
        <v>-53</v>
      </c>
      <c r="F97" s="11">
        <v>-37</v>
      </c>
      <c r="G97" s="12">
        <f>IFERROR(B97/B25,"")</f>
        <v>-5.0328227571115971E-4</v>
      </c>
      <c r="H97" s="13">
        <f t="shared" si="5"/>
        <v>-6.0949321097845759E-4</v>
      </c>
      <c r="I97" s="14" t="s">
        <v>51</v>
      </c>
      <c r="J97" s="15" t="s">
        <v>207</v>
      </c>
      <c r="K97" s="16">
        <f>ROUND(H97*K25,0)</f>
        <v>-31</v>
      </c>
      <c r="L97" s="16">
        <f>ROUND(H97*L25,0)</f>
        <v>-32</v>
      </c>
      <c r="M97" s="16">
        <f>ROUND(H97*M25,0)</f>
        <v>-34</v>
      </c>
      <c r="N97" s="16">
        <f>ROUND(H97*N25,0)</f>
        <v>-36</v>
      </c>
      <c r="O97" s="16">
        <f>ROUND(H97*O25,0)</f>
        <v>-38</v>
      </c>
      <c r="P97" s="12">
        <f>IFERROR(C97/C25,"")</f>
        <v>-5.2049152504016834E-4</v>
      </c>
      <c r="Q97" s="12">
        <f>IFERROR(D97/D25,"")</f>
        <v>5.0516647531572909E-4</v>
      </c>
      <c r="R97" s="12">
        <f>IFERROR(E97/E25,"")</f>
        <v>-1.4387317443943753E-3</v>
      </c>
      <c r="S97" s="12">
        <f>IFERROR(F97/F25,"")</f>
        <v>-1.0901269850623139E-3</v>
      </c>
    </row>
    <row r="98" spans="1:19" ht="15" customHeight="1" x14ac:dyDescent="0.2">
      <c r="A98" s="17" t="s">
        <v>208</v>
      </c>
      <c r="B98" s="18">
        <f>SUM(B90:B97)</f>
        <v>60</v>
      </c>
      <c r="C98" s="18">
        <f>SUM(C90:C97)</f>
        <v>48</v>
      </c>
      <c r="D98" s="18">
        <f>SUM(D90:D97)</f>
        <v>-40</v>
      </c>
      <c r="E98" s="18">
        <f>SUM(E90:E97)</f>
        <v>95</v>
      </c>
      <c r="F98" s="18">
        <f>SUM(F90:F97)</f>
        <v>74</v>
      </c>
      <c r="G98" s="12">
        <f>IFERROR(B98/B25,"")</f>
        <v>1.312910284463895E-3</v>
      </c>
      <c r="H98" s="13">
        <f t="shared" si="5"/>
        <v>1.2479563447657979E-3</v>
      </c>
      <c r="I98" s="14" t="s">
        <v>209</v>
      </c>
      <c r="J98" s="15" t="s">
        <v>210</v>
      </c>
      <c r="K98" s="16">
        <f>SUM(K90:K97)</f>
        <v>41</v>
      </c>
      <c r="L98" s="16">
        <f>SUM(L90:L97)</f>
        <v>45</v>
      </c>
      <c r="M98" s="16">
        <f>SUM(M90:M97)</f>
        <v>48</v>
      </c>
      <c r="N98" s="16">
        <f>SUM(N90:N97)</f>
        <v>50</v>
      </c>
      <c r="O98" s="16">
        <f>SUM(O90:O97)</f>
        <v>52</v>
      </c>
      <c r="P98" s="12">
        <f>IFERROR(C98/C25,"")</f>
        <v>1.0862431826925254E-3</v>
      </c>
      <c r="Q98" s="12">
        <f>IFERROR(D98/D25,"")</f>
        <v>-9.1848450057405281E-4</v>
      </c>
      <c r="R98" s="12">
        <f>IFERROR(E98/E25,"")</f>
        <v>2.5788587871219937E-3</v>
      </c>
      <c r="S98" s="12">
        <f>IFERROR(F98/F25,"")</f>
        <v>2.1802539701246278E-3</v>
      </c>
    </row>
    <row r="99" spans="1:19" ht="15" customHeight="1" x14ac:dyDescent="0.2">
      <c r="A99" s="17" t="s">
        <v>211</v>
      </c>
      <c r="B99" s="18">
        <f>B87+B98</f>
        <v>2986</v>
      </c>
      <c r="C99" s="18">
        <f>C87+C98</f>
        <v>2605</v>
      </c>
      <c r="D99" s="18">
        <f>D87+D98</f>
        <v>2425</v>
      </c>
      <c r="E99" s="18">
        <f>E87+E98</f>
        <v>2447</v>
      </c>
      <c r="F99" s="18">
        <f>F87+F98</f>
        <v>2454</v>
      </c>
      <c r="G99" s="12">
        <f>IFERROR(B99/B25,"")</f>
        <v>6.5339168490153171E-2</v>
      </c>
      <c r="H99" s="13">
        <f t="shared" si="5"/>
        <v>6.3740304591334021E-2</v>
      </c>
      <c r="I99" s="14" t="s">
        <v>212</v>
      </c>
      <c r="J99" s="15" t="s">
        <v>213</v>
      </c>
      <c r="K99" s="18">
        <f>K87+K98</f>
        <v>3139</v>
      </c>
      <c r="L99" s="18">
        <f>L87+L98</f>
        <v>3410</v>
      </c>
      <c r="M99" s="18">
        <f>M87+M98</f>
        <v>3625</v>
      </c>
      <c r="N99" s="18">
        <f>N87+N98</f>
        <v>3836</v>
      </c>
      <c r="O99" s="18">
        <f>O87+O98</f>
        <v>4050</v>
      </c>
      <c r="P99" s="12">
        <f>IFERROR(C99/C25,"")</f>
        <v>5.8951322727375591E-2</v>
      </c>
      <c r="Q99" s="12">
        <f>IFERROR(D99/D25,"")</f>
        <v>5.5683122847301952E-2</v>
      </c>
      <c r="R99" s="12">
        <f>IFERROR(E99/E25,"")</f>
        <v>6.6425973179868619E-2</v>
      </c>
      <c r="S99" s="12">
        <f>IFERROR(F99/F25,"")</f>
        <v>7.2301935711970772E-2</v>
      </c>
    </row>
    <row r="100" spans="1:19" ht="15" customHeight="1" x14ac:dyDescent="0.2">
      <c r="A100" s="17" t="s">
        <v>214</v>
      </c>
      <c r="B100" s="18">
        <f>B99</f>
        <v>2986</v>
      </c>
      <c r="C100" s="18">
        <f>C99</f>
        <v>2605</v>
      </c>
      <c r="D100" s="18">
        <f>D99</f>
        <v>2425</v>
      </c>
      <c r="E100" s="18">
        <f>E99</f>
        <v>2447</v>
      </c>
      <c r="F100" s="18">
        <f>F99</f>
        <v>2454</v>
      </c>
      <c r="G100" s="12">
        <f>IFERROR(B100/B25,"")</f>
        <v>6.5339168490153171E-2</v>
      </c>
      <c r="H100" s="13">
        <f t="shared" si="5"/>
        <v>6.3740304591334021E-2</v>
      </c>
      <c r="I100" s="14" t="s">
        <v>215</v>
      </c>
      <c r="J100" s="15" t="s">
        <v>216</v>
      </c>
      <c r="K100" s="16">
        <f>K99</f>
        <v>3139</v>
      </c>
      <c r="L100" s="16">
        <f>L99</f>
        <v>3410</v>
      </c>
      <c r="M100" s="16">
        <f>M99</f>
        <v>3625</v>
      </c>
      <c r="N100" s="16">
        <f>N99</f>
        <v>3836</v>
      </c>
      <c r="O100" s="16">
        <f>O99</f>
        <v>4050</v>
      </c>
      <c r="P100" s="12">
        <f>IFERROR(C100/C25,"")</f>
        <v>5.8951322727375591E-2</v>
      </c>
      <c r="Q100" s="12">
        <f>IFERROR(D100/D25,"")</f>
        <v>5.5683122847301952E-2</v>
      </c>
      <c r="R100" s="12">
        <f>IFERROR(E100/E25,"")</f>
        <v>6.6425973179868619E-2</v>
      </c>
      <c r="S100" s="12">
        <f>IFERROR(F100/F25,"")</f>
        <v>7.2301935711970772E-2</v>
      </c>
    </row>
    <row r="101" spans="1:19" ht="15" customHeight="1" x14ac:dyDescent="0.2">
      <c r="A101" s="23" t="s">
        <v>217</v>
      </c>
      <c r="B101" s="24">
        <v>2291</v>
      </c>
      <c r="C101" s="24">
        <v>2202</v>
      </c>
      <c r="D101" s="24">
        <v>2139</v>
      </c>
      <c r="E101" s="24">
        <v>1927</v>
      </c>
      <c r="G101" s="12">
        <f>IFERROR(B101/B25,"")</f>
        <v>5.0131291028446393E-2</v>
      </c>
      <c r="H101" s="13">
        <f t="shared" si="5"/>
        <v>5.0347192564571347E-2</v>
      </c>
      <c r="I101" s="14" t="s">
        <v>218</v>
      </c>
      <c r="J101" s="15" t="s">
        <v>219</v>
      </c>
      <c r="K101" s="25">
        <f>ROUND(0.8816*K79,0)</f>
        <v>2731</v>
      </c>
      <c r="L101" s="25">
        <f>ROUND(0.8816*L79,0)</f>
        <v>2967</v>
      </c>
      <c r="M101" s="25">
        <f>ROUND(0.8816*M79,0)</f>
        <v>3153</v>
      </c>
      <c r="N101" s="25">
        <f>ROUND(0.8816*N79,0)</f>
        <v>3338</v>
      </c>
      <c r="O101" s="25">
        <f>ROUND(0.8816*O79,0)</f>
        <v>3525</v>
      </c>
      <c r="P101" s="12">
        <f>IFERROR(C101/C25,"")</f>
        <v>4.9831406006019596E-2</v>
      </c>
      <c r="Q101" s="12">
        <f>IFERROR(D101/D25,"")</f>
        <v>4.9115958668197471E-2</v>
      </c>
      <c r="R101" s="12">
        <f>IFERROR(E101/E25,"")</f>
        <v>5.2310114555621914E-2</v>
      </c>
      <c r="S101" s="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Normal="100" workbookViewId="0">
      <selection activeCell="A16" sqref="A16"/>
    </sheetView>
  </sheetViews>
  <sheetFormatPr baseColWidth="10" defaultColWidth="8.6640625" defaultRowHeight="15" x14ac:dyDescent="0.2"/>
  <cols>
    <col min="1" max="1" width="38" customWidth="1"/>
    <col min="2" max="6" width="14" customWidth="1"/>
    <col min="7" max="7" width="3" customWidth="1"/>
    <col min="8" max="8" width="46" customWidth="1"/>
  </cols>
  <sheetData>
    <row r="1" spans="1:8" ht="21.75" customHeight="1" x14ac:dyDescent="0.2">
      <c r="A1" s="132" t="s">
        <v>220</v>
      </c>
      <c r="B1" s="132"/>
      <c r="C1" s="132"/>
      <c r="D1" s="132"/>
      <c r="E1" s="132"/>
      <c r="F1" s="132"/>
      <c r="G1" s="132"/>
      <c r="H1" s="132"/>
    </row>
    <row r="2" spans="1:8" ht="15" customHeight="1" x14ac:dyDescent="0.2">
      <c r="A2" s="133" t="s">
        <v>221</v>
      </c>
      <c r="B2" s="133"/>
      <c r="C2" s="133"/>
      <c r="D2" s="133"/>
      <c r="E2" s="133"/>
      <c r="F2" s="133"/>
      <c r="G2" s="133"/>
      <c r="H2" s="133"/>
    </row>
    <row r="4" spans="1:8" ht="18" customHeight="1" x14ac:dyDescent="0.2">
      <c r="A4" s="134" t="s">
        <v>222</v>
      </c>
      <c r="B4" s="134"/>
      <c r="C4" s="134"/>
      <c r="D4" s="134"/>
      <c r="E4" s="134"/>
      <c r="F4" s="134"/>
      <c r="G4" s="134"/>
      <c r="H4" s="134"/>
    </row>
    <row r="5" spans="1:8" ht="15" customHeight="1" x14ac:dyDescent="0.2">
      <c r="A5" s="135" t="s">
        <v>223</v>
      </c>
      <c r="B5" s="135"/>
      <c r="C5" s="135"/>
      <c r="D5" s="135"/>
      <c r="E5" s="135"/>
      <c r="F5" s="135"/>
      <c r="G5" s="135"/>
      <c r="H5" s="135"/>
    </row>
    <row r="6" spans="1:8" ht="15" customHeight="1" x14ac:dyDescent="0.2">
      <c r="A6" s="136" t="s">
        <v>224</v>
      </c>
      <c r="B6" s="136"/>
      <c r="C6" s="136"/>
      <c r="D6" s="136"/>
      <c r="E6" s="136"/>
      <c r="F6" s="136"/>
      <c r="G6" s="136"/>
      <c r="H6" s="136"/>
    </row>
    <row r="7" spans="1:8" ht="15" customHeight="1" x14ac:dyDescent="0.2">
      <c r="A7" s="136" t="s">
        <v>225</v>
      </c>
      <c r="B7" s="136"/>
      <c r="C7" s="136"/>
      <c r="D7" s="136"/>
      <c r="E7" s="136"/>
      <c r="F7" s="136"/>
      <c r="G7" s="136"/>
      <c r="H7" s="136"/>
    </row>
    <row r="8" spans="1:8" ht="15" customHeight="1" x14ac:dyDescent="0.2">
      <c r="A8" s="136" t="s">
        <v>226</v>
      </c>
      <c r="B8" s="136"/>
      <c r="C8" s="136"/>
      <c r="D8" s="136"/>
      <c r="E8" s="136"/>
      <c r="F8" s="136"/>
      <c r="G8" s="136"/>
      <c r="H8" s="136"/>
    </row>
    <row r="9" spans="1:8" ht="15" customHeight="1" x14ac:dyDescent="0.2">
      <c r="A9" s="136" t="s">
        <v>227</v>
      </c>
      <c r="B9" s="136"/>
      <c r="C9" s="136"/>
      <c r="D9" s="136"/>
      <c r="E9" s="136"/>
      <c r="F9" s="136"/>
      <c r="G9" s="136"/>
      <c r="H9" s="136"/>
    </row>
    <row r="10" spans="1:8" ht="15" customHeight="1" x14ac:dyDescent="0.2">
      <c r="A10" s="136" t="s">
        <v>228</v>
      </c>
      <c r="B10" s="136"/>
      <c r="C10" s="136"/>
      <c r="D10" s="136"/>
      <c r="E10" s="136"/>
      <c r="F10" s="136"/>
      <c r="G10" s="136"/>
      <c r="H10" s="136"/>
    </row>
    <row r="11" spans="1:8" ht="15" customHeight="1" x14ac:dyDescent="0.2">
      <c r="A11" s="136" t="s">
        <v>229</v>
      </c>
      <c r="B11" s="136"/>
      <c r="C11" s="136"/>
      <c r="D11" s="136"/>
      <c r="E11" s="136"/>
      <c r="F11" s="136"/>
      <c r="G11" s="136"/>
      <c r="H11" s="136"/>
    </row>
    <row r="13" spans="1:8" ht="18" customHeight="1" x14ac:dyDescent="0.2">
      <c r="A13" s="134" t="s">
        <v>230</v>
      </c>
      <c r="B13" s="134"/>
      <c r="C13" s="134"/>
      <c r="D13" s="134"/>
      <c r="E13" s="134"/>
      <c r="F13" s="134"/>
      <c r="G13" s="134"/>
      <c r="H13" s="134"/>
    </row>
    <row r="14" spans="1:8" ht="15.75" customHeight="1" x14ac:dyDescent="0.2">
      <c r="A14" s="26" t="s">
        <v>231</v>
      </c>
      <c r="B14" s="26" t="s">
        <v>232</v>
      </c>
      <c r="C14" s="26" t="s">
        <v>233</v>
      </c>
      <c r="D14" s="26" t="s">
        <v>234</v>
      </c>
      <c r="E14" s="26" t="s">
        <v>235</v>
      </c>
      <c r="F14" s="26" t="s">
        <v>236</v>
      </c>
      <c r="H14" s="26" t="s">
        <v>237</v>
      </c>
    </row>
    <row r="16" spans="1:8" ht="15.75" customHeight="1" x14ac:dyDescent="0.2">
      <c r="A16" s="27" t="s">
        <v>238</v>
      </c>
      <c r="B16" s="28">
        <f>'Income Statement'!K79</f>
        <v>3098</v>
      </c>
      <c r="C16" s="28">
        <f>'Income Statement'!L79</f>
        <v>3365</v>
      </c>
      <c r="D16" s="28">
        <f>'Income Statement'!M79</f>
        <v>3577</v>
      </c>
      <c r="E16" s="28">
        <f>'Income Statement'!N79</f>
        <v>3786</v>
      </c>
      <c r="F16" s="28">
        <f>'Income Statement'!O79</f>
        <v>3998</v>
      </c>
      <c r="H16" s="3" t="s">
        <v>239</v>
      </c>
    </row>
    <row r="17" spans="1:8" ht="15.75" customHeight="1" x14ac:dyDescent="0.2">
      <c r="A17" s="4" t="s">
        <v>240</v>
      </c>
      <c r="B17" s="29">
        <f>'Income Statement'!K30</f>
        <v>1604</v>
      </c>
      <c r="C17" s="29">
        <f>'Income Statement'!L30</f>
        <v>1671</v>
      </c>
      <c r="D17" s="29">
        <f>'Income Statement'!M30</f>
        <v>1747</v>
      </c>
      <c r="E17" s="29">
        <f>'Income Statement'!N30</f>
        <v>1830</v>
      </c>
      <c r="F17" s="29">
        <f>'Income Statement'!O30</f>
        <v>1919</v>
      </c>
      <c r="H17" s="3" t="s">
        <v>241</v>
      </c>
    </row>
    <row r="18" spans="1:8" ht="15.75" customHeight="1" x14ac:dyDescent="0.2">
      <c r="A18" s="4" t="s">
        <v>242</v>
      </c>
      <c r="B18" s="29">
        <f>'Income Statement'!K29</f>
        <v>186</v>
      </c>
      <c r="C18" s="29">
        <f>'Income Statement'!L29</f>
        <v>197</v>
      </c>
      <c r="D18" s="29">
        <f>'Income Statement'!M29</f>
        <v>209</v>
      </c>
      <c r="E18" s="29">
        <f>'Income Statement'!N29</f>
        <v>220</v>
      </c>
      <c r="F18" s="29">
        <f>'Income Statement'!O29</f>
        <v>232</v>
      </c>
      <c r="H18" s="3" t="s">
        <v>243</v>
      </c>
    </row>
    <row r="19" spans="1:8" ht="15.75" customHeight="1" x14ac:dyDescent="0.2">
      <c r="A19" s="30" t="s">
        <v>244</v>
      </c>
      <c r="B19" s="31">
        <f>B17+B18</f>
        <v>1790</v>
      </c>
      <c r="C19" s="31">
        <f>C17+C18</f>
        <v>1868</v>
      </c>
      <c r="D19" s="31">
        <f>D17+D18</f>
        <v>1956</v>
      </c>
      <c r="E19" s="31">
        <f>E17+E18</f>
        <v>2050</v>
      </c>
      <c r="F19" s="31">
        <f>F17+F18</f>
        <v>2151</v>
      </c>
      <c r="H19" s="3" t="s">
        <v>245</v>
      </c>
    </row>
    <row r="20" spans="1:8" ht="15.75" customHeight="1" x14ac:dyDescent="0.2">
      <c r="A20" s="32" t="s">
        <v>246</v>
      </c>
      <c r="B20" s="33">
        <f>('Balance Sheet'!T35-'Balance Sheet'!T20-'Balance Sheet'!T113+'Balance Sheet'!T104)-('Balance Sheet'!G35-'Balance Sheet'!G20-'Balance Sheet'!G113+'Balance Sheet'!G104)</f>
        <v>-316</v>
      </c>
      <c r="C20" s="33">
        <f>('Balance Sheet'!U35-'Balance Sheet'!U20-'Balance Sheet'!U113+'Balance Sheet'!U104)-('Balance Sheet'!T35-'Balance Sheet'!T20-'Balance Sheet'!T113+'Balance Sheet'!T104)</f>
        <v>110</v>
      </c>
      <c r="D20" s="33">
        <f>('Balance Sheet'!V35-'Balance Sheet'!V20-'Balance Sheet'!V113+'Balance Sheet'!V104)-('Balance Sheet'!U35-'Balance Sheet'!U20-'Balance Sheet'!U113+'Balance Sheet'!U104)</f>
        <v>111</v>
      </c>
      <c r="E20" s="33">
        <f>('Balance Sheet'!W35-'Balance Sheet'!W20-'Balance Sheet'!W113+'Balance Sheet'!W104)-('Balance Sheet'!V35-'Balance Sheet'!V20-'Balance Sheet'!V113+'Balance Sheet'!V104)</f>
        <v>111</v>
      </c>
      <c r="F20" s="33">
        <f>('Balance Sheet'!X35-'Balance Sheet'!X20-'Balance Sheet'!X113+'Balance Sheet'!X104)-('Balance Sheet'!W35-'Balance Sheet'!W20-'Balance Sheet'!W113+'Balance Sheet'!W104)</f>
        <v>110</v>
      </c>
      <c r="H20" s="3" t="s">
        <v>247</v>
      </c>
    </row>
    <row r="21" spans="1:8" ht="15.75" customHeight="1" x14ac:dyDescent="0.2">
      <c r="A21" s="4" t="s">
        <v>248</v>
      </c>
      <c r="B21" s="29">
        <f>'Balance Sheet'!T35-'Balance Sheet'!T20-'Balance Sheet'!T113+'Balance Sheet'!T104</f>
        <v>1800</v>
      </c>
      <c r="C21" s="29">
        <f>'Balance Sheet'!U35-'Balance Sheet'!U20-'Balance Sheet'!U113+'Balance Sheet'!U104</f>
        <v>1910</v>
      </c>
      <c r="D21" s="29">
        <f>'Balance Sheet'!V35-'Balance Sheet'!V20-'Balance Sheet'!V113+'Balance Sheet'!V104</f>
        <v>2021</v>
      </c>
      <c r="E21" s="29">
        <f>'Balance Sheet'!W35-'Balance Sheet'!W20-'Balance Sheet'!W113+'Balance Sheet'!W104</f>
        <v>2132</v>
      </c>
      <c r="F21" s="29">
        <f>'Balance Sheet'!X35-'Balance Sheet'!X20-'Balance Sheet'!X113+'Balance Sheet'!X104</f>
        <v>2242</v>
      </c>
      <c r="H21" s="3" t="s">
        <v>249</v>
      </c>
    </row>
    <row r="22" spans="1:8" ht="15.75" customHeight="1" x14ac:dyDescent="0.2">
      <c r="A22" s="32" t="s">
        <v>250</v>
      </c>
      <c r="B22" s="33">
        <f>'Balance Sheet'!T41-'Balance Sheet'!G41+'Income Statement'!K30</f>
        <v>2064</v>
      </c>
      <c r="C22" s="33">
        <f>'Balance Sheet'!U41-'Balance Sheet'!T41+'Income Statement'!L30</f>
        <v>2191</v>
      </c>
      <c r="D22" s="33">
        <f>'Balance Sheet'!V41-'Balance Sheet'!U41+'Income Statement'!M30</f>
        <v>2319</v>
      </c>
      <c r="E22" s="33">
        <f>'Balance Sheet'!W41-'Balance Sheet'!V41+'Income Statement'!N30</f>
        <v>2446</v>
      </c>
      <c r="F22" s="33">
        <f>'Balance Sheet'!X41-'Balance Sheet'!W41+'Income Statement'!O30</f>
        <v>2573</v>
      </c>
      <c r="H22" s="3" t="s">
        <v>251</v>
      </c>
    </row>
    <row r="23" spans="1:8" ht="15.75" customHeight="1" x14ac:dyDescent="0.2">
      <c r="A23" s="34" t="s">
        <v>252</v>
      </c>
      <c r="B23" s="35">
        <f>('Balance Sheet'!T116+'Balance Sheet'!T104)-('Balance Sheet'!G116+'Balance Sheet'!G104)</f>
        <v>-25</v>
      </c>
      <c r="C23" s="35">
        <f>('Balance Sheet'!U116+'Balance Sheet'!U104)-('Balance Sheet'!T116+'Balance Sheet'!T104)</f>
        <v>118</v>
      </c>
      <c r="D23" s="35">
        <f>('Balance Sheet'!V116+'Balance Sheet'!V104)-('Balance Sheet'!U116+'Balance Sheet'!U104)</f>
        <v>117</v>
      </c>
      <c r="E23" s="35">
        <f>('Balance Sheet'!W116+'Balance Sheet'!W104)-('Balance Sheet'!V116+'Balance Sheet'!V104)</f>
        <v>118</v>
      </c>
      <c r="F23" s="35">
        <f>('Balance Sheet'!X116+'Balance Sheet'!X104)-('Balance Sheet'!W116+'Balance Sheet'!W104)</f>
        <v>118</v>
      </c>
      <c r="H23" s="3" t="s">
        <v>253</v>
      </c>
    </row>
    <row r="24" spans="1:8" ht="15.75" customHeight="1" x14ac:dyDescent="0.2">
      <c r="A24" s="34" t="s">
        <v>254</v>
      </c>
      <c r="B24" s="35">
        <f>'Balance Sheet'!T120-'Balance Sheet'!G120</f>
        <v>38</v>
      </c>
      <c r="C24" s="35">
        <f>'Balance Sheet'!U120-'Balance Sheet'!T120</f>
        <v>29</v>
      </c>
      <c r="D24" s="35">
        <f>'Balance Sheet'!V120-'Balance Sheet'!U120</f>
        <v>30</v>
      </c>
      <c r="E24" s="35">
        <f>'Balance Sheet'!W120-'Balance Sheet'!V120</f>
        <v>30</v>
      </c>
      <c r="F24" s="35">
        <f>'Balance Sheet'!X120-'Balance Sheet'!W120</f>
        <v>29</v>
      </c>
      <c r="H24" s="3" t="s">
        <v>255</v>
      </c>
    </row>
    <row r="25" spans="1:8" ht="19.5" customHeight="1" x14ac:dyDescent="0.2">
      <c r="A25" s="36" t="s">
        <v>256</v>
      </c>
      <c r="B25" s="37">
        <f>B16+B19-B20-B22+B23+B24</f>
        <v>3153</v>
      </c>
      <c r="C25" s="37">
        <f>C16+C19-C20-C22+C23+C24</f>
        <v>3079</v>
      </c>
      <c r="D25" s="37">
        <f>D16+D19-D20-D22+D23+D24</f>
        <v>3250</v>
      </c>
      <c r="E25" s="37">
        <f>E16+E19-E20-E22+E23+E24</f>
        <v>3427</v>
      </c>
      <c r="F25" s="37">
        <f>F16+F19-F20-F22+F23+F24</f>
        <v>3613</v>
      </c>
      <c r="H25" s="38" t="s">
        <v>257</v>
      </c>
    </row>
    <row r="26" spans="1:8" ht="15.75" customHeight="1" x14ac:dyDescent="0.2">
      <c r="A26" s="39" t="s">
        <v>258</v>
      </c>
      <c r="B26" s="40">
        <f>'Balance Sheet'!G142+'Income Statement'!K79-'Balance Sheet'!T142</f>
        <v>2731</v>
      </c>
      <c r="C26" s="40">
        <f>'Balance Sheet'!T142+'Income Statement'!L79-'Balance Sheet'!U142</f>
        <v>2967</v>
      </c>
      <c r="D26" s="40">
        <f>'Balance Sheet'!U142+'Income Statement'!M79-'Balance Sheet'!V142</f>
        <v>3153</v>
      </c>
      <c r="E26" s="40">
        <f>'Balance Sheet'!V142+'Income Statement'!N79-'Balance Sheet'!W142</f>
        <v>3338</v>
      </c>
      <c r="F26" s="40">
        <f>'Balance Sheet'!W142+'Income Statement'!O79-'Balance Sheet'!X142</f>
        <v>3525</v>
      </c>
      <c r="H26" s="3" t="s">
        <v>259</v>
      </c>
    </row>
    <row r="28" spans="1:8" ht="18" customHeight="1" x14ac:dyDescent="0.2">
      <c r="A28" s="134" t="s">
        <v>260</v>
      </c>
      <c r="B28" s="134"/>
      <c r="C28" s="134"/>
      <c r="D28" s="134"/>
      <c r="E28" s="134"/>
      <c r="F28" s="134"/>
      <c r="G28" s="134"/>
      <c r="H28" s="134"/>
    </row>
    <row r="29" spans="1:8" ht="15" customHeight="1" x14ac:dyDescent="0.2">
      <c r="A29" s="137" t="s">
        <v>261</v>
      </c>
      <c r="B29" s="137"/>
      <c r="C29" s="137"/>
      <c r="D29" s="137"/>
      <c r="E29" s="137"/>
      <c r="F29" s="137"/>
      <c r="G29" s="137"/>
      <c r="H29" s="137"/>
    </row>
    <row r="30" spans="1:8" ht="15" customHeight="1" x14ac:dyDescent="0.2">
      <c r="A30" s="137" t="s">
        <v>262</v>
      </c>
      <c r="B30" s="137"/>
      <c r="C30" s="137"/>
      <c r="D30" s="137"/>
      <c r="E30" s="137"/>
      <c r="F30" s="137"/>
      <c r="G30" s="137"/>
      <c r="H30" s="137"/>
    </row>
    <row r="31" spans="1:8" ht="15" customHeight="1" x14ac:dyDescent="0.2">
      <c r="A31" s="137" t="s">
        <v>263</v>
      </c>
      <c r="B31" s="137"/>
      <c r="C31" s="137"/>
      <c r="D31" s="137"/>
      <c r="E31" s="137"/>
      <c r="F31" s="137"/>
      <c r="G31" s="137"/>
      <c r="H31" s="137"/>
    </row>
    <row r="32" spans="1:8" ht="15" customHeight="1" x14ac:dyDescent="0.2">
      <c r="A32" s="137" t="s">
        <v>264</v>
      </c>
      <c r="B32" s="137"/>
      <c r="C32" s="137"/>
      <c r="D32" s="137"/>
      <c r="E32" s="137"/>
      <c r="F32" s="137"/>
      <c r="G32" s="137"/>
      <c r="H32" s="137"/>
    </row>
    <row r="33" spans="1:8" ht="15" customHeight="1" x14ac:dyDescent="0.2">
      <c r="A33" s="137" t="s">
        <v>265</v>
      </c>
      <c r="B33" s="137"/>
      <c r="C33" s="137"/>
      <c r="D33" s="137"/>
      <c r="E33" s="137"/>
      <c r="F33" s="137"/>
      <c r="G33" s="137"/>
      <c r="H33" s="137"/>
    </row>
    <row r="34" spans="1:8" ht="15" customHeight="1" x14ac:dyDescent="0.2">
      <c r="A34" s="137" t="s">
        <v>266</v>
      </c>
      <c r="B34" s="137"/>
      <c r="C34" s="137"/>
      <c r="D34" s="137"/>
      <c r="E34" s="137"/>
      <c r="F34" s="137"/>
      <c r="G34" s="137"/>
      <c r="H34" s="137"/>
    </row>
  </sheetData>
  <mergeCells count="18">
    <mergeCell ref="A32:H32"/>
    <mergeCell ref="A33:H33"/>
    <mergeCell ref="A34:H34"/>
    <mergeCell ref="A13:H13"/>
    <mergeCell ref="A28:H28"/>
    <mergeCell ref="A29:H29"/>
    <mergeCell ref="A30:H30"/>
    <mergeCell ref="A31:H31"/>
    <mergeCell ref="A7:H7"/>
    <mergeCell ref="A8:H8"/>
    <mergeCell ref="A9:H9"/>
    <mergeCell ref="A10:H10"/>
    <mergeCell ref="A11:H11"/>
    <mergeCell ref="A1:H1"/>
    <mergeCell ref="A2:H2"/>
    <mergeCell ref="A4:H4"/>
    <mergeCell ref="A5:H5"/>
    <mergeCell ref="A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78"/>
  <sheetViews>
    <sheetView zoomScaleNormal="100" workbookViewId="0">
      <selection activeCell="O141" sqref="O141"/>
    </sheetView>
  </sheetViews>
  <sheetFormatPr baseColWidth="10" defaultColWidth="8.6640625" defaultRowHeight="15" x14ac:dyDescent="0.2"/>
  <cols>
    <col min="1" max="1" width="65" customWidth="1"/>
    <col min="2" max="2" width="23.5" customWidth="1"/>
    <col min="3" max="6" width="21.1640625" customWidth="1"/>
    <col min="7" max="11" width="15" customWidth="1"/>
    <col min="12" max="17" width="11" customWidth="1"/>
    <col min="18" max="18" width="42" customWidth="1"/>
    <col min="19" max="19" width="38" customWidth="1"/>
    <col min="20" max="24" width="13" customWidth="1"/>
  </cols>
  <sheetData>
    <row r="1" spans="1:6" ht="15" customHeight="1" x14ac:dyDescent="0.2">
      <c r="A1" s="5" t="s">
        <v>267</v>
      </c>
      <c r="B1" s="5"/>
      <c r="C1" s="5"/>
      <c r="D1" s="5"/>
      <c r="E1" s="5"/>
      <c r="F1" s="5"/>
    </row>
    <row r="2" spans="1:6" ht="15" customHeight="1" x14ac:dyDescent="0.2">
      <c r="A2" s="6" t="s">
        <v>1</v>
      </c>
      <c r="B2" s="6" t="s">
        <v>2</v>
      </c>
      <c r="C2" s="6"/>
      <c r="D2" s="6"/>
      <c r="E2" s="6"/>
      <c r="F2" s="6"/>
    </row>
    <row r="3" spans="1:6" ht="15" customHeight="1" x14ac:dyDescent="0.2">
      <c r="A3" s="6" t="s">
        <v>3</v>
      </c>
      <c r="B3" s="6" t="s">
        <v>4</v>
      </c>
      <c r="C3" s="6"/>
      <c r="D3" s="6"/>
      <c r="E3" s="6"/>
      <c r="F3" s="6"/>
    </row>
    <row r="4" spans="1:6" ht="15" customHeight="1" x14ac:dyDescent="0.2">
      <c r="A4" s="6" t="s">
        <v>5</v>
      </c>
      <c r="B4" s="6" t="s">
        <v>4</v>
      </c>
      <c r="C4" s="6"/>
      <c r="D4" s="6"/>
      <c r="E4" s="6"/>
      <c r="F4" s="6"/>
    </row>
    <row r="5" spans="1:6" ht="15" customHeight="1" x14ac:dyDescent="0.2">
      <c r="A5" s="6" t="s">
        <v>6</v>
      </c>
      <c r="B5" s="6" t="s">
        <v>7</v>
      </c>
      <c r="C5" s="6"/>
      <c r="D5" s="6"/>
      <c r="E5" s="6"/>
      <c r="F5" s="6"/>
    </row>
    <row r="6" spans="1:6" ht="15" customHeight="1" x14ac:dyDescent="0.2">
      <c r="A6" s="6" t="s">
        <v>8</v>
      </c>
      <c r="B6" s="6" t="s">
        <v>9</v>
      </c>
      <c r="C6" s="6"/>
      <c r="D6" s="6"/>
      <c r="E6" s="6"/>
      <c r="F6" s="6"/>
    </row>
    <row r="7" spans="1:6" ht="15" customHeight="1" x14ac:dyDescent="0.2">
      <c r="A7" s="6" t="s">
        <v>10</v>
      </c>
      <c r="B7" s="6" t="s">
        <v>11</v>
      </c>
      <c r="C7" s="6"/>
      <c r="D7" s="6"/>
      <c r="E7" s="6"/>
      <c r="F7" s="6"/>
    </row>
    <row r="8" spans="1:6" ht="15" customHeight="1" x14ac:dyDescent="0.2">
      <c r="A8" s="6" t="s">
        <v>12</v>
      </c>
      <c r="B8" s="6" t="s">
        <v>13</v>
      </c>
      <c r="C8" s="6"/>
      <c r="D8" s="6"/>
      <c r="E8" s="6"/>
      <c r="F8" s="6"/>
    </row>
    <row r="9" spans="1:6" ht="15" customHeight="1" x14ac:dyDescent="0.2">
      <c r="A9" s="6" t="s">
        <v>14</v>
      </c>
      <c r="B9" s="6" t="s">
        <v>15</v>
      </c>
      <c r="C9" s="6"/>
      <c r="D9" s="6"/>
      <c r="E9" s="6"/>
      <c r="F9" s="6"/>
    </row>
    <row r="10" spans="1:6" ht="15" customHeight="1" x14ac:dyDescent="0.2">
      <c r="A10" s="6" t="s">
        <v>16</v>
      </c>
      <c r="B10" s="7">
        <v>46164.122743287</v>
      </c>
      <c r="C10" s="6"/>
      <c r="D10" s="6"/>
      <c r="E10" s="6"/>
      <c r="F10" s="6"/>
    </row>
    <row r="11" spans="1:6" ht="15" customHeight="1" x14ac:dyDescent="0.2">
      <c r="A11" s="6" t="s">
        <v>17</v>
      </c>
      <c r="B11" s="6" t="s">
        <v>18</v>
      </c>
      <c r="C11" s="6" t="s">
        <v>19</v>
      </c>
      <c r="D11" s="6" t="s">
        <v>20</v>
      </c>
      <c r="E11" s="6" t="s">
        <v>21</v>
      </c>
      <c r="F11" s="6" t="s">
        <v>22</v>
      </c>
    </row>
    <row r="12" spans="1:6" ht="15" customHeight="1" x14ac:dyDescent="0.2">
      <c r="A12" s="6" t="s">
        <v>23</v>
      </c>
      <c r="B12" s="7">
        <v>45838</v>
      </c>
      <c r="C12" s="7">
        <v>45473</v>
      </c>
      <c r="D12" s="7">
        <v>45107</v>
      </c>
      <c r="E12" s="7">
        <v>44742</v>
      </c>
      <c r="F12" s="7">
        <v>44377</v>
      </c>
    </row>
    <row r="13" spans="1:6" ht="15" customHeight="1" x14ac:dyDescent="0.2">
      <c r="A13" s="6" t="s">
        <v>24</v>
      </c>
      <c r="B13" s="7">
        <v>45838</v>
      </c>
      <c r="C13" s="7">
        <v>45473</v>
      </c>
      <c r="D13" s="7">
        <v>45107</v>
      </c>
      <c r="E13" s="7">
        <v>45107</v>
      </c>
      <c r="F13" s="7">
        <v>44377</v>
      </c>
    </row>
    <row r="14" spans="1:6" ht="15" customHeight="1" x14ac:dyDescent="0.2">
      <c r="A14" s="6" t="s">
        <v>25</v>
      </c>
      <c r="B14" s="6" t="s">
        <v>26</v>
      </c>
      <c r="C14" s="6" t="s">
        <v>26</v>
      </c>
      <c r="D14" s="6" t="s">
        <v>26</v>
      </c>
      <c r="E14" s="6" t="s">
        <v>26</v>
      </c>
      <c r="F14" s="6" t="s">
        <v>26</v>
      </c>
    </row>
    <row r="15" spans="1:6" ht="15" customHeight="1" x14ac:dyDescent="0.2">
      <c r="A15" s="6" t="s">
        <v>27</v>
      </c>
      <c r="B15" s="6" t="s">
        <v>268</v>
      </c>
      <c r="C15" s="6" t="s">
        <v>268</v>
      </c>
      <c r="D15" s="6" t="s">
        <v>268</v>
      </c>
      <c r="E15" s="6" t="s">
        <v>268</v>
      </c>
      <c r="F15" s="6" t="s">
        <v>268</v>
      </c>
    </row>
    <row r="16" spans="1:6" ht="15" customHeight="1" x14ac:dyDescent="0.2">
      <c r="A16" s="6"/>
      <c r="B16" s="6"/>
      <c r="C16" s="6"/>
      <c r="D16" s="6"/>
      <c r="E16" s="6"/>
      <c r="F16" s="6"/>
    </row>
    <row r="17" spans="1:24" ht="15" customHeight="1" x14ac:dyDescent="0.2">
      <c r="A17" s="5" t="s">
        <v>269</v>
      </c>
      <c r="B17" s="5"/>
      <c r="C17" s="5"/>
      <c r="D17" s="5"/>
      <c r="E17" s="5"/>
      <c r="F17" s="5"/>
    </row>
    <row r="18" spans="1:24" ht="15" customHeight="1" x14ac:dyDescent="0.2">
      <c r="A18" s="8" t="s">
        <v>30</v>
      </c>
      <c r="B18" s="8" t="s">
        <v>31</v>
      </c>
      <c r="C18" s="8" t="s">
        <v>32</v>
      </c>
      <c r="D18" s="8" t="s">
        <v>33</v>
      </c>
      <c r="E18" s="8" t="s">
        <v>34</v>
      </c>
      <c r="F18" s="8" t="s">
        <v>35</v>
      </c>
      <c r="G18" s="8" t="s">
        <v>270</v>
      </c>
      <c r="H18" s="8" t="s">
        <v>271</v>
      </c>
      <c r="I18" s="8" t="s">
        <v>272</v>
      </c>
      <c r="J18" s="8" t="s">
        <v>273</v>
      </c>
      <c r="K18" s="8" t="s">
        <v>274</v>
      </c>
      <c r="L18" s="9" t="s">
        <v>275</v>
      </c>
      <c r="M18" s="9" t="s">
        <v>276</v>
      </c>
      <c r="N18" s="9" t="s">
        <v>277</v>
      </c>
      <c r="O18" s="9" t="s">
        <v>278</v>
      </c>
      <c r="P18" s="9" t="s">
        <v>279</v>
      </c>
      <c r="Q18" s="9" t="s">
        <v>37</v>
      </c>
      <c r="R18" s="9" t="s">
        <v>38</v>
      </c>
      <c r="S18" s="9" t="s">
        <v>39</v>
      </c>
      <c r="T18" s="9" t="s">
        <v>40</v>
      </c>
      <c r="U18" s="9" t="s">
        <v>41</v>
      </c>
      <c r="V18" s="9" t="s">
        <v>42</v>
      </c>
      <c r="W18" s="9" t="s">
        <v>43</v>
      </c>
      <c r="X18" s="9" t="s">
        <v>44</v>
      </c>
    </row>
    <row r="19" spans="1:24" ht="15" customHeight="1" x14ac:dyDescent="0.2">
      <c r="A19" s="5" t="s">
        <v>280</v>
      </c>
      <c r="B19" s="5"/>
      <c r="C19" s="5"/>
      <c r="D19" s="5"/>
      <c r="E19" s="5"/>
      <c r="F19" s="5"/>
      <c r="R19" s="10"/>
      <c r="S19" s="10"/>
    </row>
    <row r="20" spans="1:24" ht="15" customHeight="1" x14ac:dyDescent="0.2">
      <c r="A20" s="6" t="s">
        <v>281</v>
      </c>
      <c r="B20" s="11">
        <v>638</v>
      </c>
      <c r="C20" s="11">
        <v>835</v>
      </c>
      <c r="D20" s="11">
        <v>673</v>
      </c>
      <c r="E20" s="11">
        <v>705</v>
      </c>
      <c r="F20" s="11">
        <v>3023</v>
      </c>
      <c r="G20" s="41">
        <f t="shared" ref="G20:K26" si="0">B20</f>
        <v>638</v>
      </c>
      <c r="H20" s="41">
        <f t="shared" si="0"/>
        <v>835</v>
      </c>
      <c r="I20" s="41">
        <f t="shared" si="0"/>
        <v>673</v>
      </c>
      <c r="J20" s="41">
        <f t="shared" si="0"/>
        <v>705</v>
      </c>
      <c r="K20" s="41">
        <f t="shared" si="0"/>
        <v>3023</v>
      </c>
      <c r="L20" s="12">
        <f>IFERROR(G20/'Income Statement'!B25,"")</f>
        <v>1.3960612691466083E-2</v>
      </c>
      <c r="M20" s="12">
        <f>IFERROR(H20/'Income Statement'!C25,"")</f>
        <v>1.8896105365588722E-2</v>
      </c>
      <c r="N20" s="12">
        <f>IFERROR(I20/'Income Statement'!D25,"")</f>
        <v>1.5453501722158439E-2</v>
      </c>
      <c r="O20" s="12">
        <f>IFERROR(J20/'Income Statement'!E25,"")</f>
        <v>1.9137846788642162E-2</v>
      </c>
      <c r="P20" s="12">
        <f>IFERROR(K20/'Income Statement'!F25,"")</f>
        <v>8.906632096873987E-2</v>
      </c>
      <c r="Q20" s="12">
        <f t="shared" ref="Q20:Q35" si="1">IFERROR(AVERAGE(L20:P20),"")</f>
        <v>3.1302877507319055E-2</v>
      </c>
      <c r="R20" s="14" t="s">
        <v>282</v>
      </c>
      <c r="S20" s="15" t="s">
        <v>283</v>
      </c>
      <c r="T20" s="42">
        <f>ROUND(T146-T97-T22-T23-T29-T33,0)</f>
        <v>2602</v>
      </c>
      <c r="U20" s="42">
        <f>ROUND(U146-U97-U22-U23-U29-U33,0)</f>
        <v>2774</v>
      </c>
      <c r="V20" s="42">
        <f>ROUND(V146-V97-V22-V23-V29-V33,0)</f>
        <v>2917</v>
      </c>
      <c r="W20" s="42">
        <f>ROUND(W146-W97-W22-W23-W29-W33,0)</f>
        <v>3042</v>
      </c>
      <c r="X20" s="42">
        <f>ROUND(X146-X97-X22-X23-X29-X33,0)</f>
        <v>3151</v>
      </c>
    </row>
    <row r="21" spans="1:24" ht="15" customHeight="1" x14ac:dyDescent="0.2">
      <c r="A21" s="6" t="s">
        <v>284</v>
      </c>
      <c r="B21" s="11">
        <v>638</v>
      </c>
      <c r="C21" s="11">
        <v>835</v>
      </c>
      <c r="D21" s="11">
        <v>673</v>
      </c>
      <c r="E21" s="11">
        <v>705</v>
      </c>
      <c r="F21" s="11">
        <v>3023</v>
      </c>
      <c r="G21" s="41">
        <f t="shared" si="0"/>
        <v>638</v>
      </c>
      <c r="H21" s="41">
        <f t="shared" si="0"/>
        <v>835</v>
      </c>
      <c r="I21" s="41">
        <f t="shared" si="0"/>
        <v>673</v>
      </c>
      <c r="J21" s="41">
        <f t="shared" si="0"/>
        <v>705</v>
      </c>
      <c r="K21" s="41">
        <f t="shared" si="0"/>
        <v>3023</v>
      </c>
      <c r="L21" s="12">
        <f>IFERROR(G21/'Income Statement'!B25,"")</f>
        <v>1.3960612691466083E-2</v>
      </c>
      <c r="M21" s="12">
        <f>IFERROR(H21/'Income Statement'!C25,"")</f>
        <v>1.8896105365588722E-2</v>
      </c>
      <c r="N21" s="12">
        <f>IFERROR(I21/'Income Statement'!D25,"")</f>
        <v>1.5453501722158439E-2</v>
      </c>
      <c r="O21" s="12">
        <f>IFERROR(J21/'Income Statement'!E25,"")</f>
        <v>1.9137846788642162E-2</v>
      </c>
      <c r="P21" s="12">
        <f>IFERROR(K21/'Income Statement'!F25,"")</f>
        <v>8.906632096873987E-2</v>
      </c>
      <c r="Q21" s="12">
        <f t="shared" si="1"/>
        <v>3.1302877507319055E-2</v>
      </c>
      <c r="R21" s="14">
        <v>20</v>
      </c>
      <c r="S21" s="15" t="s">
        <v>285</v>
      </c>
      <c r="T21" s="16">
        <f>T20</f>
        <v>2602</v>
      </c>
      <c r="U21" s="16">
        <f>U20</f>
        <v>2774</v>
      </c>
      <c r="V21" s="16">
        <f>V20</f>
        <v>2917</v>
      </c>
      <c r="W21" s="16">
        <f>W20</f>
        <v>3042</v>
      </c>
      <c r="X21" s="16">
        <f>X20</f>
        <v>3151</v>
      </c>
    </row>
    <row r="22" spans="1:24" ht="15" customHeight="1" x14ac:dyDescent="0.2">
      <c r="A22" s="6" t="s">
        <v>286</v>
      </c>
      <c r="B22" s="11">
        <v>31</v>
      </c>
      <c r="C22" s="11">
        <v>19</v>
      </c>
      <c r="D22" s="11">
        <v>116</v>
      </c>
      <c r="E22" s="11">
        <v>452</v>
      </c>
      <c r="F22" s="11">
        <v>152</v>
      </c>
      <c r="G22" s="41">
        <f t="shared" si="0"/>
        <v>31</v>
      </c>
      <c r="H22" s="41">
        <f t="shared" si="0"/>
        <v>19</v>
      </c>
      <c r="I22" s="41">
        <f t="shared" si="0"/>
        <v>116</v>
      </c>
      <c r="J22" s="41">
        <f t="shared" si="0"/>
        <v>452</v>
      </c>
      <c r="K22" s="41">
        <f t="shared" si="0"/>
        <v>152</v>
      </c>
      <c r="L22" s="12">
        <f>IFERROR(G22/'Income Statement'!B25,"")</f>
        <v>6.7833698030634573E-4</v>
      </c>
      <c r="M22" s="12">
        <f>IFERROR(H22/'Income Statement'!C25,"")</f>
        <v>4.2997125981579124E-4</v>
      </c>
      <c r="N22" s="12">
        <f>IFERROR(I22/'Income Statement'!D25,"")</f>
        <v>2.6636050516647531E-3</v>
      </c>
      <c r="O22" s="12">
        <f>IFERROR(J22/'Income Statement'!E25,"")</f>
        <v>1.2269938650306749E-2</v>
      </c>
      <c r="P22" s="12">
        <f>IFERROR(K22/'Income Statement'!F25,"")</f>
        <v>4.4783595062019383E-3</v>
      </c>
      <c r="Q22" s="12">
        <f t="shared" si="1"/>
        <v>4.1040422896591157E-3</v>
      </c>
      <c r="R22" s="14" t="s">
        <v>287</v>
      </c>
      <c r="S22" s="15" t="s">
        <v>288</v>
      </c>
      <c r="T22" s="16">
        <f>ROUND(Q22*'Income Statement'!K25,0)</f>
        <v>206</v>
      </c>
      <c r="U22" s="16">
        <f>ROUND(Q22*'Income Statement'!L25,0)</f>
        <v>218</v>
      </c>
      <c r="V22" s="16">
        <f>ROUND(Q22*'Income Statement'!M25,0)</f>
        <v>231</v>
      </c>
      <c r="W22" s="16">
        <f>ROUND(Q22*'Income Statement'!N25,0)</f>
        <v>244</v>
      </c>
      <c r="X22" s="16">
        <f>ROUND(Q22*'Income Statement'!O25,0)</f>
        <v>256</v>
      </c>
    </row>
    <row r="23" spans="1:24" ht="15" customHeight="1" x14ac:dyDescent="0.2">
      <c r="A23" s="6" t="s">
        <v>289</v>
      </c>
      <c r="B23" s="11">
        <v>2988</v>
      </c>
      <c r="C23" s="11">
        <v>2210</v>
      </c>
      <c r="D23" s="11">
        <v>2089</v>
      </c>
      <c r="E23" s="11">
        <v>2094</v>
      </c>
      <c r="F23" s="11">
        <v>1247</v>
      </c>
      <c r="G23" s="41">
        <f t="shared" si="0"/>
        <v>2988</v>
      </c>
      <c r="H23" s="41">
        <f t="shared" si="0"/>
        <v>2210</v>
      </c>
      <c r="I23" s="41">
        <f t="shared" si="0"/>
        <v>2089</v>
      </c>
      <c r="J23" s="41">
        <f t="shared" si="0"/>
        <v>2094</v>
      </c>
      <c r="K23" s="41">
        <f t="shared" si="0"/>
        <v>1247</v>
      </c>
      <c r="L23" s="12">
        <f>IFERROR(G23/'Income Statement'!B25,"")</f>
        <v>6.5382932166301963E-2</v>
      </c>
      <c r="M23" s="12">
        <f>IFERROR(H23/'Income Statement'!C25,"")</f>
        <v>5.0012446536468351E-2</v>
      </c>
      <c r="N23" s="12">
        <f>IFERROR(I23/'Income Statement'!D25,"")</f>
        <v>4.7967853042479906E-2</v>
      </c>
      <c r="O23" s="12">
        <f>IFERROR(J23/'Income Statement'!E25,"")</f>
        <v>5.6843476844562681E-2</v>
      </c>
      <c r="P23" s="12">
        <f>IFERROR(K23/'Income Statement'!F25,"")</f>
        <v>3.6740225685748799E-2</v>
      </c>
      <c r="Q23" s="12">
        <f t="shared" si="1"/>
        <v>5.1389386855112337E-2</v>
      </c>
      <c r="R23" s="14" t="s">
        <v>287</v>
      </c>
      <c r="S23" s="15" t="s">
        <v>290</v>
      </c>
      <c r="T23" s="16">
        <f>ROUND(Q23*'Income Statement'!K25,0)</f>
        <v>2575</v>
      </c>
      <c r="U23" s="16">
        <f>ROUND(Q23*'Income Statement'!L25,0)</f>
        <v>2733</v>
      </c>
      <c r="V23" s="16">
        <f>ROUND(Q23*'Income Statement'!M25,0)</f>
        <v>2892</v>
      </c>
      <c r="W23" s="16">
        <f>ROUND(Q23*'Income Statement'!N25,0)</f>
        <v>3051</v>
      </c>
      <c r="X23" s="16">
        <f>ROUND(Q23*'Income Statement'!O25,0)</f>
        <v>3209</v>
      </c>
    </row>
    <row r="24" spans="1:24" ht="15" customHeight="1" x14ac:dyDescent="0.2">
      <c r="A24" s="6" t="s">
        <v>291</v>
      </c>
      <c r="B24" s="11">
        <v>2001</v>
      </c>
      <c r="C24" s="11">
        <v>1995</v>
      </c>
      <c r="D24" s="11">
        <v>1829</v>
      </c>
      <c r="E24" s="11">
        <v>1883</v>
      </c>
      <c r="F24" s="11">
        <v>1037</v>
      </c>
      <c r="G24" s="41">
        <f t="shared" si="0"/>
        <v>2001</v>
      </c>
      <c r="H24" s="41">
        <f t="shared" si="0"/>
        <v>1995</v>
      </c>
      <c r="I24" s="41">
        <f t="shared" si="0"/>
        <v>1829</v>
      </c>
      <c r="J24" s="41">
        <f t="shared" si="0"/>
        <v>1883</v>
      </c>
      <c r="K24" s="41">
        <f t="shared" si="0"/>
        <v>1037</v>
      </c>
      <c r="L24" s="12">
        <f>IFERROR(G24/'Income Statement'!B25,"")</f>
        <v>4.37855579868709E-2</v>
      </c>
      <c r="M24" s="12">
        <f>IFERROR(H24/'Income Statement'!C25,"")</f>
        <v>4.5146982280658082E-2</v>
      </c>
      <c r="N24" s="12">
        <f>IFERROR(I24/'Income Statement'!D25,"")</f>
        <v>4.1997703788748564E-2</v>
      </c>
      <c r="O24" s="12">
        <f>IFERROR(J24/'Income Statement'!E25,"")</f>
        <v>5.1115695748954887E-2</v>
      </c>
      <c r="P24" s="12">
        <f>IFERROR(K24/'Income Statement'!F25,"")</f>
        <v>3.0553018473232964E-2</v>
      </c>
      <c r="Q24" s="12">
        <f t="shared" si="1"/>
        <v>4.2519791655693077E-2</v>
      </c>
      <c r="R24" s="14" t="s">
        <v>287</v>
      </c>
      <c r="S24" s="15" t="s">
        <v>292</v>
      </c>
      <c r="T24" s="16">
        <f>ROUND(Q24*'Income Statement'!K25,0)</f>
        <v>2130</v>
      </c>
      <c r="U24" s="16">
        <f>ROUND(Q24*'Income Statement'!L25,0)</f>
        <v>2262</v>
      </c>
      <c r="V24" s="16">
        <f>ROUND(Q24*'Income Statement'!M25,0)</f>
        <v>2393</v>
      </c>
      <c r="W24" s="16">
        <f>ROUND(Q24*'Income Statement'!N25,0)</f>
        <v>2524</v>
      </c>
      <c r="X24" s="16">
        <f>ROUND(Q24*'Income Statement'!O25,0)</f>
        <v>2655</v>
      </c>
    </row>
    <row r="25" spans="1:24" ht="15" customHeight="1" x14ac:dyDescent="0.2">
      <c r="A25" s="6" t="s">
        <v>293</v>
      </c>
      <c r="B25" s="11">
        <v>2052</v>
      </c>
      <c r="C25" s="11">
        <v>2055</v>
      </c>
      <c r="D25" s="11">
        <v>1892</v>
      </c>
      <c r="E25" s="11">
        <v>1938</v>
      </c>
      <c r="F25" s="11">
        <v>1070</v>
      </c>
      <c r="G25" s="41">
        <f t="shared" si="0"/>
        <v>2052</v>
      </c>
      <c r="H25" s="41">
        <f t="shared" si="0"/>
        <v>2055</v>
      </c>
      <c r="I25" s="41">
        <f t="shared" si="0"/>
        <v>1892</v>
      </c>
      <c r="J25" s="41">
        <f t="shared" si="0"/>
        <v>1938</v>
      </c>
      <c r="K25" s="41">
        <f t="shared" si="0"/>
        <v>1070</v>
      </c>
      <c r="L25" s="12">
        <f>IFERROR(G25/'Income Statement'!B25,"")</f>
        <v>4.4901531728665206E-2</v>
      </c>
      <c r="M25" s="12">
        <f>IFERROR(H25/'Income Statement'!C25,"")</f>
        <v>4.6504786259023739E-2</v>
      </c>
      <c r="N25" s="12">
        <f>IFERROR(I25/'Income Statement'!D25,"")</f>
        <v>4.3444316877152701E-2</v>
      </c>
      <c r="O25" s="12">
        <f>IFERROR(J25/'Income Statement'!E25,"")</f>
        <v>5.2608719257288668E-2</v>
      </c>
      <c r="P25" s="12">
        <f>IFERROR(K25/'Income Statement'!F25,"")</f>
        <v>3.1525293892342592E-2</v>
      </c>
      <c r="Q25" s="12">
        <f t="shared" si="1"/>
        <v>4.379692960289458E-2</v>
      </c>
      <c r="R25" s="14" t="s">
        <v>287</v>
      </c>
      <c r="S25" s="15" t="s">
        <v>294</v>
      </c>
      <c r="T25" s="16">
        <f>ROUND(Q25*'Income Statement'!K25,0)</f>
        <v>2194</v>
      </c>
      <c r="U25" s="16">
        <f>ROUND(Q25*'Income Statement'!L25,0)</f>
        <v>2330</v>
      </c>
      <c r="V25" s="16">
        <f>ROUND(Q25*'Income Statement'!M25,0)</f>
        <v>2465</v>
      </c>
      <c r="W25" s="16">
        <f>ROUND(Q25*'Income Statement'!N25,0)</f>
        <v>2600</v>
      </c>
      <c r="X25" s="16">
        <f>ROUND(Q25*'Income Statement'!O25,0)</f>
        <v>2735</v>
      </c>
    </row>
    <row r="26" spans="1:24" ht="15" customHeight="1" x14ac:dyDescent="0.2">
      <c r="A26" s="6" t="s">
        <v>295</v>
      </c>
      <c r="B26" s="11">
        <v>51</v>
      </c>
      <c r="C26" s="11">
        <v>60</v>
      </c>
      <c r="D26" s="11">
        <v>63</v>
      </c>
      <c r="E26" s="11">
        <v>55</v>
      </c>
      <c r="F26" s="11">
        <v>33</v>
      </c>
      <c r="G26" s="41">
        <f t="shared" si="0"/>
        <v>51</v>
      </c>
      <c r="H26" s="41">
        <f t="shared" si="0"/>
        <v>60</v>
      </c>
      <c r="I26" s="41">
        <f t="shared" si="0"/>
        <v>63</v>
      </c>
      <c r="J26" s="41">
        <f t="shared" si="0"/>
        <v>55</v>
      </c>
      <c r="K26" s="41">
        <f t="shared" si="0"/>
        <v>33</v>
      </c>
      <c r="L26" s="12">
        <f>IFERROR(G26/'Income Statement'!B25,"")</f>
        <v>1.1159737417943108E-3</v>
      </c>
      <c r="M26" s="12">
        <f>IFERROR(H26/'Income Statement'!C25,"")</f>
        <v>1.3578039783656566E-3</v>
      </c>
      <c r="N26" s="12">
        <f>IFERROR(I26/'Income Statement'!D25,"")</f>
        <v>1.4466130884041332E-3</v>
      </c>
      <c r="O26" s="12">
        <f>IFERROR(J26/'Income Statement'!E25,"")</f>
        <v>1.4930235083337857E-3</v>
      </c>
      <c r="P26" s="12">
        <f>IFERROR(K26/'Income Statement'!F25,"")</f>
        <v>9.7227541910963142E-4</v>
      </c>
      <c r="Q26" s="12">
        <f t="shared" si="1"/>
        <v>1.2771379472015037E-3</v>
      </c>
      <c r="R26" s="14" t="s">
        <v>287</v>
      </c>
      <c r="S26" s="15" t="s">
        <v>296</v>
      </c>
      <c r="T26" s="16">
        <f>ROUND(Q26*'Income Statement'!K25,0)</f>
        <v>64</v>
      </c>
      <c r="U26" s="16">
        <f>ROUND(Q26*'Income Statement'!L25,0)</f>
        <v>68</v>
      </c>
      <c r="V26" s="16">
        <f>ROUND(Q26*'Income Statement'!M25,0)</f>
        <v>72</v>
      </c>
      <c r="W26" s="16">
        <f>ROUND(Q26*'Income Statement'!N25,0)</f>
        <v>76</v>
      </c>
      <c r="X26" s="16">
        <f>ROUND(Q26*'Income Statement'!O25,0)</f>
        <v>80</v>
      </c>
    </row>
    <row r="27" spans="1:24" ht="15" customHeight="1" x14ac:dyDescent="0.2">
      <c r="A27" s="6" t="s">
        <v>297</v>
      </c>
      <c r="B27" s="6"/>
      <c r="C27" s="11">
        <v>0</v>
      </c>
      <c r="D27" s="11">
        <v>43</v>
      </c>
      <c r="E27" s="6"/>
      <c r="F27" s="6"/>
      <c r="H27" s="41">
        <f t="shared" ref="H27:I34" si="2">C27</f>
        <v>0</v>
      </c>
      <c r="I27" s="41">
        <f t="shared" si="2"/>
        <v>43</v>
      </c>
      <c r="L27" s="12">
        <f>IFERROR(G27/'Income Statement'!B25,"")</f>
        <v>0</v>
      </c>
      <c r="M27" s="12">
        <f>IFERROR(H27/'Income Statement'!C25,"")</f>
        <v>0</v>
      </c>
      <c r="N27" s="12">
        <f>IFERROR(I27/'Income Statement'!D25,"")</f>
        <v>9.8737083811710675E-4</v>
      </c>
      <c r="O27" s="12">
        <f>IFERROR(J27/'Income Statement'!E25,"")</f>
        <v>0</v>
      </c>
      <c r="P27" s="12">
        <f>IFERROR(K27/'Income Statement'!F25,"")</f>
        <v>0</v>
      </c>
      <c r="Q27" s="12">
        <f t="shared" si="1"/>
        <v>1.9747416762342136E-4</v>
      </c>
      <c r="R27" s="14" t="s">
        <v>298</v>
      </c>
      <c r="S27" s="15"/>
    </row>
    <row r="28" spans="1:24" ht="15" customHeight="1" x14ac:dyDescent="0.2">
      <c r="A28" s="6" t="s">
        <v>299</v>
      </c>
      <c r="B28" s="11">
        <v>987</v>
      </c>
      <c r="C28" s="11">
        <v>215</v>
      </c>
      <c r="D28" s="11">
        <v>217</v>
      </c>
      <c r="E28" s="11">
        <v>211</v>
      </c>
      <c r="F28" s="11">
        <v>210</v>
      </c>
      <c r="G28" s="41">
        <f>B28</f>
        <v>987</v>
      </c>
      <c r="H28" s="41">
        <f t="shared" si="2"/>
        <v>215</v>
      </c>
      <c r="I28" s="41">
        <f t="shared" si="2"/>
        <v>217</v>
      </c>
      <c r="J28" s="41">
        <f t="shared" ref="J28:K34" si="3">E28</f>
        <v>211</v>
      </c>
      <c r="K28" s="41">
        <f t="shared" si="3"/>
        <v>210</v>
      </c>
      <c r="L28" s="12">
        <f>IFERROR(G28/'Income Statement'!B25,"")</f>
        <v>2.1597374179431073E-2</v>
      </c>
      <c r="M28" s="12">
        <f>IFERROR(H28/'Income Statement'!C25,"")</f>
        <v>4.8654642558102696E-3</v>
      </c>
      <c r="N28" s="12">
        <f>IFERROR(I28/'Income Statement'!D25,"")</f>
        <v>4.9827784156142368E-3</v>
      </c>
      <c r="O28" s="12">
        <f>IFERROR(J28/'Income Statement'!E25,"")</f>
        <v>5.7277810956077964E-3</v>
      </c>
      <c r="P28" s="12">
        <f>IFERROR(K28/'Income Statement'!F25,"")</f>
        <v>6.1872072125158366E-3</v>
      </c>
      <c r="Q28" s="12">
        <f t="shared" si="1"/>
        <v>8.6721210317958417E-3</v>
      </c>
      <c r="R28" s="14" t="s">
        <v>287</v>
      </c>
      <c r="S28" s="15" t="s">
        <v>300</v>
      </c>
      <c r="T28" s="16">
        <f>ROUND(Q28*'Income Statement'!K25,0)</f>
        <v>435</v>
      </c>
      <c r="U28" s="16">
        <f>ROUND(Q28*'Income Statement'!L25,0)</f>
        <v>461</v>
      </c>
      <c r="V28" s="16">
        <f>ROUND(Q28*'Income Statement'!M25,0)</f>
        <v>488</v>
      </c>
      <c r="W28" s="16">
        <f>ROUND(Q28*'Income Statement'!N25,0)</f>
        <v>515</v>
      </c>
      <c r="X28" s="16">
        <f>ROUND(Q28*'Income Statement'!O25,0)</f>
        <v>542</v>
      </c>
    </row>
    <row r="29" spans="1:24" ht="15" customHeight="1" x14ac:dyDescent="0.2">
      <c r="A29" s="6" t="s">
        <v>301</v>
      </c>
      <c r="B29" s="11">
        <v>6038</v>
      </c>
      <c r="C29" s="11">
        <v>6102</v>
      </c>
      <c r="D29" s="11">
        <v>6039</v>
      </c>
      <c r="E29" s="11">
        <v>6084</v>
      </c>
      <c r="F29" s="11">
        <v>4502</v>
      </c>
      <c r="G29" s="41">
        <f>B29</f>
        <v>6038</v>
      </c>
      <c r="H29" s="41">
        <f t="shared" si="2"/>
        <v>6102</v>
      </c>
      <c r="I29" s="41">
        <f t="shared" si="2"/>
        <v>6039</v>
      </c>
      <c r="J29" s="41">
        <f t="shared" si="3"/>
        <v>6084</v>
      </c>
      <c r="K29" s="41">
        <f t="shared" si="3"/>
        <v>4502</v>
      </c>
      <c r="L29" s="12">
        <f>IFERROR(G29/'Income Statement'!B25,"")</f>
        <v>0.13212253829321663</v>
      </c>
      <c r="M29" s="12">
        <f>IFERROR(H29/'Income Statement'!C25,"")</f>
        <v>0.13808866459978728</v>
      </c>
      <c r="N29" s="12">
        <f>IFERROR(I29/'Income Statement'!D25,"")</f>
        <v>0.13866819747416761</v>
      </c>
      <c r="O29" s="12">
        <f>IFERROR(J29/'Income Statement'!E25,"")</f>
        <v>0.16515554590368642</v>
      </c>
      <c r="P29" s="12">
        <f>IFERROR(K29/'Income Statement'!F25,"")</f>
        <v>0.13264193747974426</v>
      </c>
      <c r="Q29" s="12">
        <f t="shared" si="1"/>
        <v>0.14133537675012045</v>
      </c>
      <c r="R29" s="14" t="s">
        <v>287</v>
      </c>
      <c r="S29" s="15" t="s">
        <v>302</v>
      </c>
      <c r="T29" s="16">
        <f>ROUND(Q29*'Income Statement'!K25,0)</f>
        <v>7081</v>
      </c>
      <c r="U29" s="16">
        <f>ROUND(Q29*'Income Statement'!L25,0)</f>
        <v>7518</v>
      </c>
      <c r="V29" s="16">
        <f>ROUND(Q29*'Income Statement'!M25,0)</f>
        <v>7954</v>
      </c>
      <c r="W29" s="16">
        <f>ROUND(Q29*'Income Statement'!N25,0)</f>
        <v>8390</v>
      </c>
      <c r="X29" s="16">
        <f>ROUND(Q29*'Income Statement'!O25,0)</f>
        <v>8827</v>
      </c>
    </row>
    <row r="30" spans="1:24" ht="15" customHeight="1" x14ac:dyDescent="0.2">
      <c r="A30" s="6" t="s">
        <v>303</v>
      </c>
      <c r="B30" s="11">
        <v>65</v>
      </c>
      <c r="C30" s="11">
        <v>57</v>
      </c>
      <c r="D30" s="11">
        <v>34</v>
      </c>
      <c r="E30" s="11">
        <v>28</v>
      </c>
      <c r="F30" s="11">
        <v>28</v>
      </c>
      <c r="G30" s="41">
        <f>B30</f>
        <v>65</v>
      </c>
      <c r="H30" s="41">
        <f t="shared" si="2"/>
        <v>57</v>
      </c>
      <c r="I30" s="41">
        <f t="shared" si="2"/>
        <v>34</v>
      </c>
      <c r="J30" s="41">
        <f t="shared" si="3"/>
        <v>28</v>
      </c>
      <c r="K30" s="41">
        <f t="shared" si="3"/>
        <v>28</v>
      </c>
      <c r="L30" s="12">
        <f>IFERROR(G30/'Income Statement'!B25,"")</f>
        <v>1.4223194748358861E-3</v>
      </c>
      <c r="M30" s="12">
        <f>IFERROR(H30/'Income Statement'!C25,"")</f>
        <v>1.2899137794473738E-3</v>
      </c>
      <c r="N30" s="12">
        <f>IFERROR(I30/'Income Statement'!D25,"")</f>
        <v>7.8071182548794494E-4</v>
      </c>
      <c r="O30" s="12">
        <f>IFERROR(J30/'Income Statement'!E25,"")</f>
        <v>7.6008469515174547E-4</v>
      </c>
      <c r="P30" s="12">
        <f>IFERROR(K30/'Income Statement'!F25,"")</f>
        <v>8.2496096166877815E-4</v>
      </c>
      <c r="Q30" s="12">
        <f t="shared" si="1"/>
        <v>1.0155981473183458E-3</v>
      </c>
      <c r="R30" s="14" t="s">
        <v>287</v>
      </c>
      <c r="S30" s="15" t="s">
        <v>304</v>
      </c>
      <c r="T30" s="16">
        <f>ROUND(Q30*'Income Statement'!K25,0)</f>
        <v>51</v>
      </c>
      <c r="U30" s="16">
        <f>ROUND(Q30*'Income Statement'!L25,0)</f>
        <v>54</v>
      </c>
      <c r="V30" s="16">
        <f>ROUND(Q30*'Income Statement'!M25,0)</f>
        <v>57</v>
      </c>
      <c r="W30" s="16">
        <f>ROUND(Q30*'Income Statement'!N25,0)</f>
        <v>60</v>
      </c>
      <c r="X30" s="16">
        <f>ROUND(Q30*'Income Statement'!O25,0)</f>
        <v>63</v>
      </c>
    </row>
    <row r="31" spans="1:24" ht="15" customHeight="1" x14ac:dyDescent="0.2">
      <c r="A31" s="6" t="s">
        <v>305</v>
      </c>
      <c r="B31" s="11">
        <v>5973</v>
      </c>
      <c r="C31" s="11">
        <v>6038</v>
      </c>
      <c r="D31" s="11">
        <v>5997</v>
      </c>
      <c r="E31" s="11">
        <v>6047</v>
      </c>
      <c r="F31" s="11">
        <v>4465</v>
      </c>
      <c r="G31" s="41">
        <f>B31</f>
        <v>5973</v>
      </c>
      <c r="H31" s="41">
        <f t="shared" si="2"/>
        <v>6038</v>
      </c>
      <c r="I31" s="41">
        <f t="shared" si="2"/>
        <v>5997</v>
      </c>
      <c r="J31" s="41">
        <f t="shared" si="3"/>
        <v>6047</v>
      </c>
      <c r="K31" s="41">
        <f t="shared" si="3"/>
        <v>4465</v>
      </c>
      <c r="L31" s="12">
        <f>IFERROR(G31/'Income Statement'!B25,"")</f>
        <v>0.13070021881838073</v>
      </c>
      <c r="M31" s="12">
        <f>IFERROR(H31/'Income Statement'!C25,"")</f>
        <v>0.13664034035619724</v>
      </c>
      <c r="N31" s="12">
        <f>IFERROR(I31/'Income Statement'!D25,"")</f>
        <v>0.13770378874856487</v>
      </c>
      <c r="O31" s="12">
        <f>IFERROR(J31/'Income Statement'!E25,"")</f>
        <v>0.16415114827080732</v>
      </c>
      <c r="P31" s="12">
        <f>IFERROR(K31/'Income Statement'!F25,"")</f>
        <v>0.13155181049468195</v>
      </c>
      <c r="Q31" s="12">
        <f t="shared" si="1"/>
        <v>0.14014946133772641</v>
      </c>
      <c r="R31" s="14" t="s">
        <v>287</v>
      </c>
      <c r="S31" s="15" t="s">
        <v>306</v>
      </c>
      <c r="T31" s="16">
        <f>ROUND(Q31*'Income Statement'!K25,0)</f>
        <v>7022</v>
      </c>
      <c r="U31" s="16">
        <f>ROUND(Q31*'Income Statement'!L25,0)</f>
        <v>7455</v>
      </c>
      <c r="V31" s="16">
        <f>ROUND(Q31*'Income Statement'!M25,0)</f>
        <v>7887</v>
      </c>
      <c r="W31" s="16">
        <f>ROUND(Q31*'Income Statement'!N25,0)</f>
        <v>8320</v>
      </c>
      <c r="X31" s="16">
        <f>ROUND(Q31*'Income Statement'!O25,0)</f>
        <v>8753</v>
      </c>
    </row>
    <row r="32" spans="1:24" ht="15" customHeight="1" x14ac:dyDescent="0.2">
      <c r="A32" s="6" t="s">
        <v>307</v>
      </c>
      <c r="B32" s="6"/>
      <c r="C32" s="11">
        <v>7</v>
      </c>
      <c r="D32" s="11">
        <v>8</v>
      </c>
      <c r="E32" s="11">
        <v>9</v>
      </c>
      <c r="F32" s="11">
        <v>9</v>
      </c>
      <c r="H32" s="41">
        <f t="shared" si="2"/>
        <v>7</v>
      </c>
      <c r="I32" s="41">
        <f t="shared" si="2"/>
        <v>8</v>
      </c>
      <c r="J32" s="41">
        <f t="shared" si="3"/>
        <v>9</v>
      </c>
      <c r="K32" s="41">
        <f t="shared" si="3"/>
        <v>9</v>
      </c>
      <c r="L32" s="12">
        <f>IFERROR(G32/'Income Statement'!B25,"")</f>
        <v>0</v>
      </c>
      <c r="M32" s="12">
        <f>IFERROR(H32/'Income Statement'!C25,"")</f>
        <v>1.5841046414265993E-4</v>
      </c>
      <c r="N32" s="12">
        <f>IFERROR(I32/'Income Statement'!D25,"")</f>
        <v>1.8369690011481055E-4</v>
      </c>
      <c r="O32" s="12">
        <f>IFERROR(J32/'Income Statement'!E25,"")</f>
        <v>2.4431293772734678E-4</v>
      </c>
      <c r="P32" s="12">
        <f>IFERROR(K32/'Income Statement'!F25,"")</f>
        <v>2.6516602339353586E-4</v>
      </c>
      <c r="Q32" s="12">
        <f t="shared" si="1"/>
        <v>1.703172650756706E-4</v>
      </c>
      <c r="R32" s="14" t="s">
        <v>298</v>
      </c>
      <c r="S32" s="15"/>
    </row>
    <row r="33" spans="1:24" ht="15" customHeight="1" x14ac:dyDescent="0.2">
      <c r="A33" s="6" t="s">
        <v>308</v>
      </c>
      <c r="B33" s="11">
        <v>238</v>
      </c>
      <c r="C33" s="11">
        <v>248</v>
      </c>
      <c r="D33" s="11">
        <v>237</v>
      </c>
      <c r="E33" s="11">
        <v>264</v>
      </c>
      <c r="F33" s="11">
        <v>172</v>
      </c>
      <c r="G33" s="41">
        <f>B33</f>
        <v>238</v>
      </c>
      <c r="H33" s="41">
        <f t="shared" si="2"/>
        <v>248</v>
      </c>
      <c r="I33" s="41">
        <f t="shared" si="2"/>
        <v>237</v>
      </c>
      <c r="J33" s="41">
        <f t="shared" si="3"/>
        <v>264</v>
      </c>
      <c r="K33" s="41">
        <f t="shared" si="3"/>
        <v>172</v>
      </c>
      <c r="L33" s="12">
        <f>IFERROR(G33/'Income Statement'!B25,"")</f>
        <v>5.2078774617067836E-3</v>
      </c>
      <c r="M33" s="12">
        <f>IFERROR(H33/'Income Statement'!C25,"")</f>
        <v>5.6122564439113802E-3</v>
      </c>
      <c r="N33" s="12">
        <f>IFERROR(I33/'Income Statement'!D25,"")</f>
        <v>5.4420206659012626E-3</v>
      </c>
      <c r="O33" s="12">
        <f>IFERROR(J33/'Income Statement'!E25,"")</f>
        <v>7.1665128400021719E-3</v>
      </c>
      <c r="P33" s="12">
        <f>IFERROR(K33/'Income Statement'!F25,"")</f>
        <v>5.0676173359653518E-3</v>
      </c>
      <c r="Q33" s="12">
        <f t="shared" si="1"/>
        <v>5.6992569494973902E-3</v>
      </c>
      <c r="R33" s="14" t="s">
        <v>287</v>
      </c>
      <c r="S33" s="15" t="s">
        <v>309</v>
      </c>
      <c r="T33" s="16">
        <f>ROUND(Q33*'Income Statement'!K25,0)</f>
        <v>286</v>
      </c>
      <c r="U33" s="16">
        <f>ROUND(Q33*'Income Statement'!L25,0)</f>
        <v>303</v>
      </c>
      <c r="V33" s="16">
        <f>ROUND(Q33*'Income Statement'!M25,0)</f>
        <v>321</v>
      </c>
      <c r="W33" s="16">
        <f>ROUND(Q33*'Income Statement'!N25,0)</f>
        <v>338</v>
      </c>
      <c r="X33" s="16">
        <f>ROUND(Q33*'Income Statement'!O25,0)</f>
        <v>356</v>
      </c>
    </row>
    <row r="34" spans="1:24" ht="15" customHeight="1" x14ac:dyDescent="0.2">
      <c r="A34" s="6" t="s">
        <v>310</v>
      </c>
      <c r="B34" s="11">
        <v>238</v>
      </c>
      <c r="C34" s="11">
        <v>248</v>
      </c>
      <c r="D34" s="11">
        <v>237</v>
      </c>
      <c r="E34" s="11">
        <v>264</v>
      </c>
      <c r="F34" s="11">
        <v>172</v>
      </c>
      <c r="G34" s="41">
        <f>B34</f>
        <v>238</v>
      </c>
      <c r="H34" s="41">
        <f t="shared" si="2"/>
        <v>248</v>
      </c>
      <c r="I34" s="41">
        <f t="shared" si="2"/>
        <v>237</v>
      </c>
      <c r="J34" s="41">
        <f t="shared" si="3"/>
        <v>264</v>
      </c>
      <c r="K34" s="41">
        <f t="shared" si="3"/>
        <v>172</v>
      </c>
      <c r="L34" s="12">
        <f>IFERROR(G34/'Income Statement'!B25,"")</f>
        <v>5.2078774617067836E-3</v>
      </c>
      <c r="M34" s="12">
        <f>IFERROR(H34/'Income Statement'!C25,"")</f>
        <v>5.6122564439113802E-3</v>
      </c>
      <c r="N34" s="12">
        <f>IFERROR(I34/'Income Statement'!D25,"")</f>
        <v>5.4420206659012626E-3</v>
      </c>
      <c r="O34" s="12">
        <f>IFERROR(J34/'Income Statement'!E25,"")</f>
        <v>7.1665128400021719E-3</v>
      </c>
      <c r="P34" s="12">
        <f>IFERROR(K34/'Income Statement'!F25,"")</f>
        <v>5.0676173359653518E-3</v>
      </c>
      <c r="Q34" s="12">
        <f t="shared" si="1"/>
        <v>5.6992569494973902E-3</v>
      </c>
      <c r="R34" s="14">
        <v>33</v>
      </c>
      <c r="S34" s="15" t="s">
        <v>311</v>
      </c>
      <c r="T34" s="16">
        <f>T33</f>
        <v>286</v>
      </c>
      <c r="U34" s="16">
        <f>U33</f>
        <v>303</v>
      </c>
      <c r="V34" s="16">
        <f>V33</f>
        <v>321</v>
      </c>
      <c r="W34" s="16">
        <f>W33</f>
        <v>338</v>
      </c>
      <c r="X34" s="16">
        <f>X33</f>
        <v>356</v>
      </c>
    </row>
    <row r="35" spans="1:24" ht="15" customHeight="1" x14ac:dyDescent="0.2">
      <c r="A35" s="17" t="s">
        <v>312</v>
      </c>
      <c r="B35" s="18">
        <f t="shared" ref="B35:K35" si="4">B20+B22+B23+B29+B33</f>
        <v>9933</v>
      </c>
      <c r="C35" s="18">
        <f t="shared" si="4"/>
        <v>9414</v>
      </c>
      <c r="D35" s="18">
        <f t="shared" si="4"/>
        <v>9154</v>
      </c>
      <c r="E35" s="18">
        <f t="shared" si="4"/>
        <v>9599</v>
      </c>
      <c r="F35" s="18">
        <f t="shared" si="4"/>
        <v>9096</v>
      </c>
      <c r="G35">
        <f t="shared" si="4"/>
        <v>9933</v>
      </c>
      <c r="H35">
        <f t="shared" si="4"/>
        <v>9414</v>
      </c>
      <c r="I35">
        <f t="shared" si="4"/>
        <v>9154</v>
      </c>
      <c r="J35">
        <f t="shared" si="4"/>
        <v>9599</v>
      </c>
      <c r="K35">
        <f t="shared" si="4"/>
        <v>9096</v>
      </c>
      <c r="L35" s="12">
        <f>IFERROR(G35/'Income Statement'!B25,"")</f>
        <v>0.21735229759299782</v>
      </c>
      <c r="M35" s="12">
        <f>IFERROR(H35/'Income Statement'!C25,"")</f>
        <v>0.21303944420557153</v>
      </c>
      <c r="N35" s="12">
        <f>IFERROR(I35/'Income Statement'!D25,"")</f>
        <v>0.21019517795637199</v>
      </c>
      <c r="O35" s="12">
        <f>IFERROR(J35/'Income Statement'!E25,"")</f>
        <v>0.26057332102720016</v>
      </c>
      <c r="P35" s="12">
        <f>IFERROR(K35/'Income Statement'!F25,"")</f>
        <v>0.26799446097640023</v>
      </c>
      <c r="Q35" s="12">
        <f t="shared" si="1"/>
        <v>0.23383094035170834</v>
      </c>
      <c r="R35" s="14" t="s">
        <v>313</v>
      </c>
      <c r="S35" s="15" t="s">
        <v>314</v>
      </c>
      <c r="T35" s="43">
        <f>T20+T22+T23+T29+T33</f>
        <v>12750</v>
      </c>
      <c r="U35" s="43">
        <f>U20+U22+U23+U29+U33</f>
        <v>13546</v>
      </c>
      <c r="V35" s="43">
        <f>V20+V22+V23+V29+V33</f>
        <v>14315</v>
      </c>
      <c r="W35" s="43">
        <f>W20+W22+W23+W29+W33</f>
        <v>15065</v>
      </c>
      <c r="X35" s="43">
        <f>X20+X22+X23+X29+X33</f>
        <v>15799</v>
      </c>
    </row>
    <row r="36" spans="1:24" ht="15" customHeight="1" x14ac:dyDescent="0.2">
      <c r="A36" s="5" t="s">
        <v>315</v>
      </c>
      <c r="B36" s="5"/>
      <c r="C36" s="5"/>
      <c r="D36" s="5"/>
      <c r="E36" s="5"/>
      <c r="F36" s="5"/>
      <c r="R36" s="10"/>
      <c r="S36" s="10"/>
    </row>
    <row r="37" spans="1:24" ht="15" customHeight="1" x14ac:dyDescent="0.2">
      <c r="A37" s="6" t="s">
        <v>316</v>
      </c>
      <c r="B37" s="6"/>
      <c r="C37" s="6"/>
      <c r="D37" s="11">
        <v>15</v>
      </c>
      <c r="E37" s="11">
        <v>677</v>
      </c>
      <c r="F37" s="11">
        <v>1124</v>
      </c>
      <c r="I37" s="41">
        <f t="shared" ref="I37:I70" si="5">D37</f>
        <v>15</v>
      </c>
      <c r="J37" s="41">
        <f t="shared" ref="J37:J70" si="6">E37</f>
        <v>677</v>
      </c>
      <c r="K37" s="41">
        <f t="shared" ref="K37:K70" si="7">F37</f>
        <v>1124</v>
      </c>
      <c r="L37" s="12">
        <f>IFERROR(G37/'Income Statement'!B25,"")</f>
        <v>0</v>
      </c>
      <c r="M37" s="12">
        <f>IFERROR(H37/'Income Statement'!C25,"")</f>
        <v>0</v>
      </c>
      <c r="N37" s="12">
        <f>IFERROR(I37/'Income Statement'!D25,"")</f>
        <v>3.4443168771526979E-4</v>
      </c>
      <c r="O37" s="12">
        <f>IFERROR(J37/'Income Statement'!E25,"")</f>
        <v>1.8377762093490419E-2</v>
      </c>
      <c r="P37" s="12">
        <f>IFERROR(K37/'Income Statement'!F25,"")</f>
        <v>3.3116290032703811E-2</v>
      </c>
      <c r="Q37" s="12">
        <f t="shared" ref="Q37:Q68" si="8">IFERROR(AVERAGE(L37:P37),"")</f>
        <v>1.0367696762781899E-2</v>
      </c>
      <c r="R37" s="14" t="s">
        <v>298</v>
      </c>
      <c r="S37" s="15"/>
    </row>
    <row r="38" spans="1:24" ht="15" customHeight="1" x14ac:dyDescent="0.2">
      <c r="A38" s="6" t="s">
        <v>317</v>
      </c>
      <c r="B38" s="6"/>
      <c r="C38" s="6"/>
      <c r="D38" s="11">
        <v>15</v>
      </c>
      <c r="E38" s="11">
        <v>677</v>
      </c>
      <c r="F38" s="11">
        <v>1124</v>
      </c>
      <c r="I38" s="41">
        <f t="shared" si="5"/>
        <v>15</v>
      </c>
      <c r="J38" s="41">
        <f t="shared" si="6"/>
        <v>677</v>
      </c>
      <c r="K38" s="41">
        <f t="shared" si="7"/>
        <v>1124</v>
      </c>
      <c r="L38" s="12">
        <f>IFERROR(G38/'Income Statement'!B25,"")</f>
        <v>0</v>
      </c>
      <c r="M38" s="12">
        <f>IFERROR(H38/'Income Statement'!C25,"")</f>
        <v>0</v>
      </c>
      <c r="N38" s="12">
        <f>IFERROR(I38/'Income Statement'!D25,"")</f>
        <v>3.4443168771526979E-4</v>
      </c>
      <c r="O38" s="12">
        <f>IFERROR(J38/'Income Statement'!E25,"")</f>
        <v>1.8377762093490419E-2</v>
      </c>
      <c r="P38" s="12">
        <f>IFERROR(K38/'Income Statement'!F25,"")</f>
        <v>3.3116290032703811E-2</v>
      </c>
      <c r="Q38" s="12">
        <f t="shared" si="8"/>
        <v>1.0367696762781899E-2</v>
      </c>
      <c r="R38" s="14">
        <v>37</v>
      </c>
      <c r="S38" s="15" t="s">
        <v>318</v>
      </c>
      <c r="T38" s="16">
        <f>T37</f>
        <v>0</v>
      </c>
      <c r="U38" s="16">
        <f>U37</f>
        <v>0</v>
      </c>
      <c r="V38" s="16">
        <f>V37</f>
        <v>0</v>
      </c>
      <c r="W38" s="16">
        <f>W37</f>
        <v>0</v>
      </c>
      <c r="X38" s="16">
        <f>X37</f>
        <v>0</v>
      </c>
    </row>
    <row r="39" spans="1:24" ht="15" customHeight="1" x14ac:dyDescent="0.2">
      <c r="A39" s="6" t="s">
        <v>319</v>
      </c>
      <c r="B39" s="11">
        <v>1113</v>
      </c>
      <c r="C39" s="11">
        <v>938</v>
      </c>
      <c r="D39" s="11">
        <v>943</v>
      </c>
      <c r="E39" s="11">
        <v>934</v>
      </c>
      <c r="F39" s="11">
        <v>775</v>
      </c>
      <c r="G39" s="41">
        <f t="shared" ref="G39:G72" si="9">B39</f>
        <v>1113</v>
      </c>
      <c r="H39" s="41">
        <f t="shared" ref="H39:H72" si="10">C39</f>
        <v>938</v>
      </c>
      <c r="I39" s="41">
        <f t="shared" si="5"/>
        <v>943</v>
      </c>
      <c r="J39" s="41">
        <f t="shared" si="6"/>
        <v>934</v>
      </c>
      <c r="K39" s="41">
        <f t="shared" si="7"/>
        <v>775</v>
      </c>
      <c r="L39" s="12">
        <f>IFERROR(G39/'Income Statement'!B25,"")</f>
        <v>2.4354485776805251E-2</v>
      </c>
      <c r="M39" s="12">
        <f>IFERROR(H39/'Income Statement'!C25,"")</f>
        <v>2.1227002195116432E-2</v>
      </c>
      <c r="N39" s="12">
        <f>IFERROR(I39/'Income Statement'!D25,"")</f>
        <v>2.1653272101033294E-2</v>
      </c>
      <c r="O39" s="12">
        <f>IFERROR(J39/'Income Statement'!E25,"")</f>
        <v>2.5354253759704654E-2</v>
      </c>
      <c r="P39" s="12">
        <f>IFERROR(K39/'Income Statement'!F25,"")</f>
        <v>2.2833740903332254E-2</v>
      </c>
      <c r="Q39" s="12">
        <f t="shared" si="8"/>
        <v>2.3084550947198378E-2</v>
      </c>
      <c r="R39" s="14" t="s">
        <v>287</v>
      </c>
      <c r="S39" s="15" t="s">
        <v>320</v>
      </c>
      <c r="T39" s="16">
        <f>ROUND(Q39*'Income Statement'!K25,0)</f>
        <v>1157</v>
      </c>
      <c r="U39" s="16">
        <f>ROUND(Q39*'Income Statement'!L25,0)</f>
        <v>1228</v>
      </c>
      <c r="V39" s="16">
        <f>ROUND(Q39*'Income Statement'!M25,0)</f>
        <v>1299</v>
      </c>
      <c r="W39" s="16">
        <f>ROUND(Q39*'Income Statement'!N25,0)</f>
        <v>1370</v>
      </c>
      <c r="X39" s="16">
        <f>ROUND(Q39*'Income Statement'!O25,0)</f>
        <v>1442</v>
      </c>
    </row>
    <row r="40" spans="1:24" ht="15" customHeight="1" x14ac:dyDescent="0.2">
      <c r="A40" s="6" t="s">
        <v>321</v>
      </c>
      <c r="B40" s="11">
        <v>96</v>
      </c>
      <c r="C40" s="11">
        <v>22</v>
      </c>
      <c r="D40" s="11">
        <v>27</v>
      </c>
      <c r="E40" s="11">
        <v>8</v>
      </c>
      <c r="F40" s="11">
        <v>282</v>
      </c>
      <c r="G40" s="41">
        <f t="shared" si="9"/>
        <v>96</v>
      </c>
      <c r="H40" s="41">
        <f t="shared" si="10"/>
        <v>22</v>
      </c>
      <c r="I40" s="41">
        <f t="shared" si="5"/>
        <v>27</v>
      </c>
      <c r="J40" s="41">
        <f t="shared" si="6"/>
        <v>8</v>
      </c>
      <c r="K40" s="41">
        <f t="shared" si="7"/>
        <v>282</v>
      </c>
      <c r="L40" s="12">
        <f>IFERROR(G40/'Income Statement'!B25,"")</f>
        <v>2.1006564551422319E-3</v>
      </c>
      <c r="M40" s="12">
        <f>IFERROR(H40/'Income Statement'!C25,"")</f>
        <v>4.9786145873407411E-4</v>
      </c>
      <c r="N40" s="12">
        <f>IFERROR(I40/'Income Statement'!D25,"")</f>
        <v>6.1997703788748565E-4</v>
      </c>
      <c r="O40" s="12">
        <f>IFERROR(J40/'Income Statement'!E25,"")</f>
        <v>2.1716705575764158E-4</v>
      </c>
      <c r="P40" s="12">
        <f>IFERROR(K40/'Income Statement'!F25,"")</f>
        <v>8.3085353996641235E-3</v>
      </c>
      <c r="Q40" s="12">
        <f t="shared" si="8"/>
        <v>2.3488394814371117E-3</v>
      </c>
      <c r="R40" s="14" t="s">
        <v>287</v>
      </c>
      <c r="S40" s="15" t="s">
        <v>322</v>
      </c>
      <c r="T40" s="16">
        <f>ROUND(Q40*'Income Statement'!K25,0)</f>
        <v>118</v>
      </c>
      <c r="U40" s="16">
        <f>ROUND(Q40*'Income Statement'!L25,0)</f>
        <v>125</v>
      </c>
      <c r="V40" s="16">
        <f>ROUND(Q40*'Income Statement'!M25,0)</f>
        <v>132</v>
      </c>
      <c r="W40" s="16">
        <f>ROUND(Q40*'Income Statement'!N25,0)</f>
        <v>139</v>
      </c>
      <c r="X40" s="16">
        <f>ROUND(Q40*'Income Statement'!O25,0)</f>
        <v>147</v>
      </c>
    </row>
    <row r="41" spans="1:24" ht="15" customHeight="1" x14ac:dyDescent="0.2">
      <c r="A41" s="6" t="s">
        <v>323</v>
      </c>
      <c r="B41" s="11">
        <v>11040</v>
      </c>
      <c r="C41" s="11">
        <v>11150</v>
      </c>
      <c r="D41" s="11">
        <v>11041</v>
      </c>
      <c r="E41" s="11">
        <v>10764</v>
      </c>
      <c r="F41" s="11">
        <v>10397</v>
      </c>
      <c r="G41" s="41">
        <f t="shared" si="9"/>
        <v>11040</v>
      </c>
      <c r="H41" s="41">
        <f t="shared" si="10"/>
        <v>11150</v>
      </c>
      <c r="I41" s="41">
        <f t="shared" si="5"/>
        <v>11041</v>
      </c>
      <c r="J41" s="41">
        <f t="shared" si="6"/>
        <v>10764</v>
      </c>
      <c r="K41" s="41">
        <f t="shared" si="7"/>
        <v>10397</v>
      </c>
      <c r="L41" s="12">
        <f>IFERROR(G41/'Income Statement'!B25,"")</f>
        <v>0.24157549234135667</v>
      </c>
      <c r="M41" s="12">
        <f>IFERROR(H41/'Income Statement'!C25,"")</f>
        <v>0.2523252393129512</v>
      </c>
      <c r="N41" s="12">
        <f>IFERROR(I41/'Income Statement'!D25,"")</f>
        <v>0.25352468427095293</v>
      </c>
      <c r="O41" s="12">
        <f>IFERROR(J41/'Income Statement'!E25,"")</f>
        <v>0.29219827352190675</v>
      </c>
      <c r="P41" s="12">
        <f>IFERROR(K41/'Income Statement'!F25,"")</f>
        <v>0.30632568280251021</v>
      </c>
      <c r="Q41" s="12">
        <f t="shared" si="8"/>
        <v>0.26918987444993558</v>
      </c>
      <c r="R41" s="14" t="s">
        <v>324</v>
      </c>
      <c r="S41" s="15" t="s">
        <v>325</v>
      </c>
      <c r="T41" s="20">
        <f>ROUND(G41+0.0412*'Income Statement'!K25-'Income Statement'!K30,0)</f>
        <v>11500</v>
      </c>
      <c r="U41" s="20">
        <f>ROUND(T41+0.0412*'Income Statement'!L25-'Income Statement'!L30,0)</f>
        <v>12020</v>
      </c>
      <c r="V41" s="20">
        <f>ROUND(U41+0.0412*'Income Statement'!M25-'Income Statement'!M30,0)</f>
        <v>12592</v>
      </c>
      <c r="W41" s="20">
        <f>ROUND(V41+0.0412*'Income Statement'!N25-'Income Statement'!N30,0)</f>
        <v>13208</v>
      </c>
      <c r="X41" s="20">
        <f>ROUND(W41+0.0412*'Income Statement'!O25-'Income Statement'!O30,0)</f>
        <v>13862</v>
      </c>
    </row>
    <row r="42" spans="1:24" ht="15" customHeight="1" x14ac:dyDescent="0.2">
      <c r="A42" s="6" t="s">
        <v>326</v>
      </c>
      <c r="B42" s="11">
        <v>11040</v>
      </c>
      <c r="C42" s="11">
        <v>11150</v>
      </c>
      <c r="D42" s="11">
        <v>11041</v>
      </c>
      <c r="E42" s="11">
        <v>10764</v>
      </c>
      <c r="F42" s="11">
        <v>10397</v>
      </c>
      <c r="G42" s="41">
        <f t="shared" si="9"/>
        <v>11040</v>
      </c>
      <c r="H42" s="41">
        <f t="shared" si="10"/>
        <v>11150</v>
      </c>
      <c r="I42" s="41">
        <f t="shared" si="5"/>
        <v>11041</v>
      </c>
      <c r="J42" s="41">
        <f t="shared" si="6"/>
        <v>10764</v>
      </c>
      <c r="K42" s="41">
        <f t="shared" si="7"/>
        <v>10397</v>
      </c>
      <c r="L42" s="12">
        <f>IFERROR(G42/'Income Statement'!B25,"")</f>
        <v>0.24157549234135667</v>
      </c>
      <c r="M42" s="12">
        <f>IFERROR(H42/'Income Statement'!C25,"")</f>
        <v>0.2523252393129512</v>
      </c>
      <c r="N42" s="12">
        <f>IFERROR(I42/'Income Statement'!D25,"")</f>
        <v>0.25352468427095293</v>
      </c>
      <c r="O42" s="12">
        <f>IFERROR(J42/'Income Statement'!E25,"")</f>
        <v>0.29219827352190675</v>
      </c>
      <c r="P42" s="12">
        <f>IFERROR(K42/'Income Statement'!F25,"")</f>
        <v>0.30632568280251021</v>
      </c>
      <c r="Q42" s="12">
        <f t="shared" si="8"/>
        <v>0.26918987444993558</v>
      </c>
      <c r="R42" s="14">
        <v>41</v>
      </c>
      <c r="S42" s="15" t="s">
        <v>327</v>
      </c>
      <c r="T42" s="16">
        <f>T41</f>
        <v>11500</v>
      </c>
      <c r="U42" s="16">
        <f>U41</f>
        <v>12020</v>
      </c>
      <c r="V42" s="16">
        <f>V41</f>
        <v>12592</v>
      </c>
      <c r="W42" s="16">
        <f>W41</f>
        <v>13208</v>
      </c>
      <c r="X42" s="16">
        <f>X41</f>
        <v>13862</v>
      </c>
    </row>
    <row r="43" spans="1:24" ht="15" customHeight="1" x14ac:dyDescent="0.2">
      <c r="A43" s="6" t="s">
        <v>328</v>
      </c>
      <c r="B43" s="11">
        <v>1101</v>
      </c>
      <c r="C43" s="11">
        <v>1018</v>
      </c>
      <c r="D43" s="11">
        <v>1007</v>
      </c>
      <c r="E43" s="11">
        <v>1012</v>
      </c>
      <c r="F43" s="11">
        <v>1070</v>
      </c>
      <c r="G43" s="41">
        <f t="shared" si="9"/>
        <v>1101</v>
      </c>
      <c r="H43" s="41">
        <f t="shared" si="10"/>
        <v>1018</v>
      </c>
      <c r="I43" s="41">
        <f t="shared" si="5"/>
        <v>1007</v>
      </c>
      <c r="J43" s="41">
        <f t="shared" si="6"/>
        <v>1012</v>
      </c>
      <c r="K43" s="41">
        <f t="shared" si="7"/>
        <v>1070</v>
      </c>
      <c r="L43" s="12">
        <f>IFERROR(G43/'Income Statement'!B25,"")</f>
        <v>2.4091903719912471E-2</v>
      </c>
      <c r="M43" s="12">
        <f>IFERROR(H43/'Income Statement'!C25,"")</f>
        <v>2.3037407499603972E-2</v>
      </c>
      <c r="N43" s="12">
        <f>IFERROR(I43/'Income Statement'!D25,"")</f>
        <v>2.3122847301951778E-2</v>
      </c>
      <c r="O43" s="12">
        <f>IFERROR(J43/'Income Statement'!E25,"")</f>
        <v>2.7471632553341657E-2</v>
      </c>
      <c r="P43" s="12">
        <f>IFERROR(K43/'Income Statement'!F25,"")</f>
        <v>3.1525293892342592E-2</v>
      </c>
      <c r="Q43" s="12">
        <f t="shared" si="8"/>
        <v>2.5849816993430492E-2</v>
      </c>
      <c r="R43" s="14" t="s">
        <v>287</v>
      </c>
      <c r="S43" s="15" t="s">
        <v>329</v>
      </c>
      <c r="T43" s="16">
        <f>ROUND(Q43*'Income Statement'!K25,0)</f>
        <v>1295</v>
      </c>
      <c r="U43" s="16">
        <f>ROUND(Q43*'Income Statement'!L25,0)</f>
        <v>1375</v>
      </c>
      <c r="V43" s="16">
        <f>ROUND(Q43*'Income Statement'!M25,0)</f>
        <v>1455</v>
      </c>
      <c r="W43" s="16">
        <f>ROUND(Q43*'Income Statement'!N25,0)</f>
        <v>1535</v>
      </c>
      <c r="X43" s="16">
        <f>ROUND(Q43*'Income Statement'!O25,0)</f>
        <v>1614</v>
      </c>
    </row>
    <row r="44" spans="1:24" ht="15" customHeight="1" x14ac:dyDescent="0.2">
      <c r="A44" s="6" t="s">
        <v>330</v>
      </c>
      <c r="B44" s="11">
        <v>436</v>
      </c>
      <c r="C44" s="11">
        <v>383</v>
      </c>
      <c r="D44" s="11">
        <v>323</v>
      </c>
      <c r="E44" s="11">
        <v>321</v>
      </c>
      <c r="F44" s="11">
        <v>369</v>
      </c>
      <c r="G44" s="41">
        <f t="shared" si="9"/>
        <v>436</v>
      </c>
      <c r="H44" s="41">
        <f t="shared" si="10"/>
        <v>383</v>
      </c>
      <c r="I44" s="41">
        <f t="shared" si="5"/>
        <v>323</v>
      </c>
      <c r="J44" s="41">
        <f t="shared" si="6"/>
        <v>321</v>
      </c>
      <c r="K44" s="41">
        <f t="shared" si="7"/>
        <v>369</v>
      </c>
      <c r="L44" s="12">
        <f>IFERROR(G44/'Income Statement'!B25,"")</f>
        <v>9.5404814004376361E-3</v>
      </c>
      <c r="M44" s="12">
        <f>IFERROR(H44/'Income Statement'!C25,"")</f>
        <v>8.6673153952341077E-3</v>
      </c>
      <c r="N44" s="12">
        <f>IFERROR(I44/'Income Statement'!D25,"")</f>
        <v>7.4167623421354766E-3</v>
      </c>
      <c r="O44" s="12">
        <f>IFERROR(J44/'Income Statement'!E25,"")</f>
        <v>8.7138281122753677E-3</v>
      </c>
      <c r="P44" s="12">
        <f>IFERROR(K44/'Income Statement'!F25,"")</f>
        <v>1.0871806959134969E-2</v>
      </c>
      <c r="Q44" s="12">
        <f t="shared" si="8"/>
        <v>9.0420388418435103E-3</v>
      </c>
      <c r="R44" s="14" t="s">
        <v>287</v>
      </c>
      <c r="S44" s="15" t="s">
        <v>331</v>
      </c>
      <c r="T44" s="16">
        <f>ROUND(Q44*'Income Statement'!K25,0)</f>
        <v>453</v>
      </c>
      <c r="U44" s="16">
        <f>ROUND(Q44*'Income Statement'!L25,0)</f>
        <v>481</v>
      </c>
      <c r="V44" s="16">
        <f>ROUND(Q44*'Income Statement'!M25,0)</f>
        <v>509</v>
      </c>
      <c r="W44" s="16">
        <f>ROUND(Q44*'Income Statement'!N25,0)</f>
        <v>537</v>
      </c>
      <c r="X44" s="16">
        <f>ROUND(Q44*'Income Statement'!O25,0)</f>
        <v>565</v>
      </c>
    </row>
    <row r="45" spans="1:24" ht="15" customHeight="1" x14ac:dyDescent="0.2">
      <c r="A45" s="6" t="s">
        <v>332</v>
      </c>
      <c r="B45" s="11">
        <v>367</v>
      </c>
      <c r="C45" s="11">
        <v>321</v>
      </c>
      <c r="D45" s="11">
        <v>329</v>
      </c>
      <c r="E45" s="11">
        <v>297</v>
      </c>
      <c r="F45" s="11">
        <v>324</v>
      </c>
      <c r="G45" s="41">
        <f t="shared" si="9"/>
        <v>367</v>
      </c>
      <c r="H45" s="41">
        <f t="shared" si="10"/>
        <v>321</v>
      </c>
      <c r="I45" s="41">
        <f t="shared" si="5"/>
        <v>329</v>
      </c>
      <c r="J45" s="41">
        <f t="shared" si="6"/>
        <v>297</v>
      </c>
      <c r="K45" s="41">
        <f t="shared" si="7"/>
        <v>324</v>
      </c>
      <c r="L45" s="12">
        <f>IFERROR(G45/'Income Statement'!B25,"")</f>
        <v>8.0306345733041577E-3</v>
      </c>
      <c r="M45" s="12">
        <f>IFERROR(H45/'Income Statement'!C25,"")</f>
        <v>7.2642512842562628E-3</v>
      </c>
      <c r="N45" s="12">
        <f>IFERROR(I45/'Income Statement'!D25,"")</f>
        <v>7.5545350172215846E-3</v>
      </c>
      <c r="O45" s="12">
        <f>IFERROR(J45/'Income Statement'!E25,"")</f>
        <v>8.0623269450024425E-3</v>
      </c>
      <c r="P45" s="12">
        <f>IFERROR(K45/'Income Statement'!F25,"")</f>
        <v>9.5459768421672902E-3</v>
      </c>
      <c r="Q45" s="12">
        <f t="shared" si="8"/>
        <v>8.0915449323903481E-3</v>
      </c>
      <c r="R45" s="14" t="s">
        <v>287</v>
      </c>
      <c r="S45" s="15" t="s">
        <v>333</v>
      </c>
      <c r="T45" s="16">
        <f>ROUND(Q45*'Income Statement'!K25,0)</f>
        <v>405</v>
      </c>
      <c r="U45" s="16">
        <f>ROUND(Q45*'Income Statement'!L25,0)</f>
        <v>430</v>
      </c>
      <c r="V45" s="16">
        <f>ROUND(Q45*'Income Statement'!M25,0)</f>
        <v>455</v>
      </c>
      <c r="W45" s="16">
        <f>ROUND(Q45*'Income Statement'!N25,0)</f>
        <v>480</v>
      </c>
      <c r="X45" s="16">
        <f>ROUND(Q45*'Income Statement'!O25,0)</f>
        <v>505</v>
      </c>
    </row>
    <row r="46" spans="1:24" ht="15" customHeight="1" x14ac:dyDescent="0.2">
      <c r="A46" s="6" t="s">
        <v>334</v>
      </c>
      <c r="B46" s="11">
        <v>298</v>
      </c>
      <c r="C46" s="11">
        <v>314</v>
      </c>
      <c r="D46" s="11">
        <v>355</v>
      </c>
      <c r="E46" s="11">
        <v>394</v>
      </c>
      <c r="F46" s="11">
        <v>377</v>
      </c>
      <c r="G46" s="41">
        <f t="shared" si="9"/>
        <v>298</v>
      </c>
      <c r="H46" s="41">
        <f t="shared" si="10"/>
        <v>314</v>
      </c>
      <c r="I46" s="41">
        <f t="shared" si="5"/>
        <v>355</v>
      </c>
      <c r="J46" s="41">
        <f t="shared" si="6"/>
        <v>394</v>
      </c>
      <c r="K46" s="41">
        <f t="shared" si="7"/>
        <v>377</v>
      </c>
      <c r="L46" s="12">
        <f>IFERROR(G46/'Income Statement'!B25,"")</f>
        <v>6.5207877461706783E-3</v>
      </c>
      <c r="M46" s="12">
        <f>IFERROR(H46/'Income Statement'!C25,"")</f>
        <v>7.1058408201136033E-3</v>
      </c>
      <c r="N46" s="12">
        <f>IFERROR(I46/'Income Statement'!D25,"")</f>
        <v>8.1515499425947185E-3</v>
      </c>
      <c r="O46" s="12">
        <f>IFERROR(J46/'Income Statement'!E25,"")</f>
        <v>1.0695477496063846E-2</v>
      </c>
      <c r="P46" s="12">
        <f>IFERROR(K46/'Income Statement'!F25,"")</f>
        <v>1.1107510091040334E-2</v>
      </c>
      <c r="Q46" s="12">
        <f t="shared" si="8"/>
        <v>8.7162332191966368E-3</v>
      </c>
      <c r="R46" s="14" t="s">
        <v>287</v>
      </c>
      <c r="S46" s="15" t="s">
        <v>335</v>
      </c>
      <c r="T46" s="16">
        <f>ROUND(Q46*'Income Statement'!K25,0)</f>
        <v>437</v>
      </c>
      <c r="U46" s="16">
        <f>ROUND(Q46*'Income Statement'!L25,0)</f>
        <v>464</v>
      </c>
      <c r="V46" s="16">
        <f>ROUND(Q46*'Income Statement'!M25,0)</f>
        <v>491</v>
      </c>
      <c r="W46" s="16">
        <f>ROUND(Q46*'Income Statement'!N25,0)</f>
        <v>517</v>
      </c>
      <c r="X46" s="16">
        <f>ROUND(Q46*'Income Statement'!O25,0)</f>
        <v>544</v>
      </c>
    </row>
    <row r="47" spans="1:24" ht="15" customHeight="1" x14ac:dyDescent="0.2">
      <c r="A47" s="6" t="s">
        <v>336</v>
      </c>
      <c r="B47" s="11">
        <v>3527</v>
      </c>
      <c r="C47" s="11">
        <v>3685</v>
      </c>
      <c r="D47" s="11">
        <v>3429</v>
      </c>
      <c r="E47" s="11">
        <v>2868</v>
      </c>
      <c r="F47" s="11">
        <v>2426</v>
      </c>
      <c r="G47" s="41">
        <f t="shared" si="9"/>
        <v>3527</v>
      </c>
      <c r="H47" s="41">
        <f t="shared" si="10"/>
        <v>3685</v>
      </c>
      <c r="I47" s="41">
        <f t="shared" si="5"/>
        <v>3429</v>
      </c>
      <c r="J47" s="41">
        <f t="shared" si="6"/>
        <v>2868</v>
      </c>
      <c r="K47" s="41">
        <f t="shared" si="7"/>
        <v>2426</v>
      </c>
      <c r="L47" s="12">
        <f>IFERROR(G47/'Income Statement'!B25,"")</f>
        <v>7.7177242888402622E-2</v>
      </c>
      <c r="M47" s="12">
        <f>IFERROR(H47/'Income Statement'!C25,"")</f>
        <v>8.3391794337957403E-2</v>
      </c>
      <c r="N47" s="12">
        <f>IFERROR(I47/'Income Statement'!D25,"")</f>
        <v>7.8737083811710684E-2</v>
      </c>
      <c r="O47" s="12">
        <f>IFERROR(J47/'Income Statement'!E25,"")</f>
        <v>7.7854389489114495E-2</v>
      </c>
      <c r="P47" s="12">
        <f>IFERROR(K47/'Income Statement'!F25,"")</f>
        <v>7.1476974750302E-2</v>
      </c>
      <c r="Q47" s="12">
        <f t="shared" si="8"/>
        <v>7.7727497055497446E-2</v>
      </c>
      <c r="R47" s="14" t="s">
        <v>287</v>
      </c>
      <c r="S47" s="15" t="s">
        <v>337</v>
      </c>
      <c r="T47" s="16">
        <f>ROUND(Q47*'Income Statement'!K25,0)</f>
        <v>3894</v>
      </c>
      <c r="U47" s="16">
        <f>ROUND(Q47*'Income Statement'!L25,0)</f>
        <v>4134</v>
      </c>
      <c r="V47" s="16">
        <f>ROUND(Q47*'Income Statement'!M25,0)</f>
        <v>4374</v>
      </c>
      <c r="W47" s="16">
        <f>ROUND(Q47*'Income Statement'!N25,0)</f>
        <v>4614</v>
      </c>
      <c r="X47" s="16">
        <f>ROUND(Q47*'Income Statement'!O25,0)</f>
        <v>4854</v>
      </c>
    </row>
    <row r="48" spans="1:24" ht="15" customHeight="1" x14ac:dyDescent="0.2">
      <c r="A48" s="6" t="s">
        <v>338</v>
      </c>
      <c r="B48" s="11">
        <v>5460</v>
      </c>
      <c r="C48" s="11">
        <v>5497</v>
      </c>
      <c r="D48" s="11">
        <v>5676</v>
      </c>
      <c r="E48" s="11">
        <v>6014</v>
      </c>
      <c r="F48" s="11">
        <v>6035</v>
      </c>
      <c r="G48" s="41">
        <f t="shared" si="9"/>
        <v>5460</v>
      </c>
      <c r="H48" s="41">
        <f t="shared" si="10"/>
        <v>5497</v>
      </c>
      <c r="I48" s="41">
        <f t="shared" si="5"/>
        <v>5676</v>
      </c>
      <c r="J48" s="41">
        <f t="shared" si="6"/>
        <v>6014</v>
      </c>
      <c r="K48" s="41">
        <f t="shared" si="7"/>
        <v>6035</v>
      </c>
      <c r="L48" s="12">
        <f>IFERROR(G48/'Income Statement'!B25,"")</f>
        <v>0.11947483588621444</v>
      </c>
      <c r="M48" s="12">
        <f>IFERROR(H48/'Income Statement'!C25,"")</f>
        <v>0.12439747448460024</v>
      </c>
      <c r="N48" s="12">
        <f>IFERROR(I48/'Income Statement'!D25,"")</f>
        <v>0.13033295063145808</v>
      </c>
      <c r="O48" s="12">
        <f>IFERROR(J48/'Income Statement'!E25,"")</f>
        <v>0.16325533416580704</v>
      </c>
      <c r="P48" s="12">
        <f>IFERROR(K48/'Income Statement'!F25,"")</f>
        <v>0.17780855013110985</v>
      </c>
      <c r="Q48" s="12">
        <f t="shared" si="8"/>
        <v>0.14305382905983793</v>
      </c>
      <c r="R48" s="14" t="s">
        <v>287</v>
      </c>
      <c r="S48" s="15" t="s">
        <v>339</v>
      </c>
      <c r="T48" s="16">
        <f>ROUND(Q48*'Income Statement'!K25,0)</f>
        <v>7168</v>
      </c>
      <c r="U48" s="16">
        <f>ROUND(Q48*'Income Statement'!L25,0)</f>
        <v>7609</v>
      </c>
      <c r="V48" s="16">
        <f>ROUND(Q48*'Income Statement'!M25,0)</f>
        <v>8051</v>
      </c>
      <c r="W48" s="16">
        <f>ROUND(Q48*'Income Statement'!N25,0)</f>
        <v>8492</v>
      </c>
      <c r="X48" s="16">
        <f>ROUND(Q48*'Income Statement'!O25,0)</f>
        <v>8934</v>
      </c>
    </row>
    <row r="49" spans="1:24" ht="15" customHeight="1" x14ac:dyDescent="0.2">
      <c r="A49" s="6" t="s">
        <v>340</v>
      </c>
      <c r="B49" s="11">
        <v>5460</v>
      </c>
      <c r="C49" s="11">
        <v>5497</v>
      </c>
      <c r="D49" s="11">
        <v>5676</v>
      </c>
      <c r="E49" s="11">
        <v>6014</v>
      </c>
      <c r="F49" s="11">
        <v>6035</v>
      </c>
      <c r="G49" s="41">
        <f t="shared" si="9"/>
        <v>5460</v>
      </c>
      <c r="H49" s="41">
        <f t="shared" si="10"/>
        <v>5497</v>
      </c>
      <c r="I49" s="41">
        <f t="shared" si="5"/>
        <v>5676</v>
      </c>
      <c r="J49" s="41">
        <f t="shared" si="6"/>
        <v>6014</v>
      </c>
      <c r="K49" s="41">
        <f t="shared" si="7"/>
        <v>6035</v>
      </c>
      <c r="L49" s="12">
        <f>IFERROR(G49/'Income Statement'!B25,"")</f>
        <v>0.11947483588621444</v>
      </c>
      <c r="M49" s="12">
        <f>IFERROR(H49/'Income Statement'!C25,"")</f>
        <v>0.12439747448460024</v>
      </c>
      <c r="N49" s="12">
        <f>IFERROR(I49/'Income Statement'!D25,"")</f>
        <v>0.13033295063145808</v>
      </c>
      <c r="O49" s="12">
        <f>IFERROR(J49/'Income Statement'!E25,"")</f>
        <v>0.16325533416580704</v>
      </c>
      <c r="P49" s="12">
        <f>IFERROR(K49/'Income Statement'!F25,"")</f>
        <v>0.17780855013110985</v>
      </c>
      <c r="Q49" s="12">
        <f t="shared" si="8"/>
        <v>0.14305382905983793</v>
      </c>
      <c r="R49" s="14">
        <v>48</v>
      </c>
      <c r="S49" s="15" t="s">
        <v>341</v>
      </c>
      <c r="T49" s="16">
        <f>T48</f>
        <v>7168</v>
      </c>
      <c r="U49" s="16">
        <f>U48</f>
        <v>7609</v>
      </c>
      <c r="V49" s="16">
        <f>V48</f>
        <v>8051</v>
      </c>
      <c r="W49" s="16">
        <f>W48</f>
        <v>8492</v>
      </c>
      <c r="X49" s="16">
        <f>X48</f>
        <v>8934</v>
      </c>
    </row>
    <row r="50" spans="1:24" ht="15" customHeight="1" x14ac:dyDescent="0.2">
      <c r="A50" s="6" t="s">
        <v>342</v>
      </c>
      <c r="B50" s="11">
        <v>952</v>
      </c>
      <c r="C50" s="11">
        <v>950</v>
      </c>
      <c r="D50" s="11">
        <v>929</v>
      </c>
      <c r="E50" s="11">
        <v>870</v>
      </c>
      <c r="F50" s="11">
        <v>866</v>
      </c>
      <c r="G50" s="41">
        <f t="shared" si="9"/>
        <v>952</v>
      </c>
      <c r="H50" s="41">
        <f t="shared" si="10"/>
        <v>950</v>
      </c>
      <c r="I50" s="41">
        <f t="shared" si="5"/>
        <v>929</v>
      </c>
      <c r="J50" s="41">
        <f t="shared" si="6"/>
        <v>870</v>
      </c>
      <c r="K50" s="41">
        <f t="shared" si="7"/>
        <v>866</v>
      </c>
      <c r="L50" s="12">
        <f>IFERROR(G50/'Income Statement'!B25,"")</f>
        <v>2.0831509846827134E-2</v>
      </c>
      <c r="M50" s="12">
        <f>IFERROR(H50/'Income Statement'!C25,"")</f>
        <v>2.1498562990789564E-2</v>
      </c>
      <c r="N50" s="12">
        <f>IFERROR(I50/'Income Statement'!D25,"")</f>
        <v>2.1331802525832378E-2</v>
      </c>
      <c r="O50" s="12">
        <f>IFERROR(J50/'Income Statement'!E25,"")</f>
        <v>2.3616917313643519E-2</v>
      </c>
      <c r="P50" s="12">
        <f>IFERROR(K50/'Income Statement'!F25,"")</f>
        <v>2.5514864028755781E-2</v>
      </c>
      <c r="Q50" s="12">
        <f t="shared" si="8"/>
        <v>2.2558731341169674E-2</v>
      </c>
      <c r="R50" s="14" t="s">
        <v>287</v>
      </c>
      <c r="S50" s="15" t="s">
        <v>343</v>
      </c>
      <c r="T50" s="16">
        <f>ROUND(Q50*'Income Statement'!K25,0)</f>
        <v>1130</v>
      </c>
      <c r="U50" s="16">
        <f>ROUND(Q50*'Income Statement'!L25,0)</f>
        <v>1200</v>
      </c>
      <c r="V50" s="16">
        <f>ROUND(Q50*'Income Statement'!M25,0)</f>
        <v>1270</v>
      </c>
      <c r="W50" s="16">
        <f>ROUND(Q50*'Income Statement'!N25,0)</f>
        <v>1339</v>
      </c>
      <c r="X50" s="16">
        <f>ROUND(Q50*'Income Statement'!O25,0)</f>
        <v>1409</v>
      </c>
    </row>
    <row r="51" spans="1:24" ht="15" customHeight="1" x14ac:dyDescent="0.2">
      <c r="A51" s="6" t="s">
        <v>344</v>
      </c>
      <c r="B51" s="11">
        <v>952</v>
      </c>
      <c r="C51" s="11">
        <v>950</v>
      </c>
      <c r="D51" s="11">
        <v>929</v>
      </c>
      <c r="E51" s="11">
        <v>870</v>
      </c>
      <c r="F51" s="11">
        <v>866</v>
      </c>
      <c r="G51" s="41">
        <f t="shared" si="9"/>
        <v>952</v>
      </c>
      <c r="H51" s="41">
        <f t="shared" si="10"/>
        <v>950</v>
      </c>
      <c r="I51" s="41">
        <f t="shared" si="5"/>
        <v>929</v>
      </c>
      <c r="J51" s="41">
        <f t="shared" si="6"/>
        <v>870</v>
      </c>
      <c r="K51" s="41">
        <f t="shared" si="7"/>
        <v>866</v>
      </c>
      <c r="L51" s="12">
        <f>IFERROR(G51/'Income Statement'!B25,"")</f>
        <v>2.0831509846827134E-2</v>
      </c>
      <c r="M51" s="12">
        <f>IFERROR(H51/'Income Statement'!C25,"")</f>
        <v>2.1498562990789564E-2</v>
      </c>
      <c r="N51" s="12">
        <f>IFERROR(I51/'Income Statement'!D25,"")</f>
        <v>2.1331802525832378E-2</v>
      </c>
      <c r="O51" s="12">
        <f>IFERROR(J51/'Income Statement'!E25,"")</f>
        <v>2.3616917313643519E-2</v>
      </c>
      <c r="P51" s="12">
        <f>IFERROR(K51/'Income Statement'!F25,"")</f>
        <v>2.5514864028755781E-2</v>
      </c>
      <c r="Q51" s="12">
        <f t="shared" si="8"/>
        <v>2.2558731341169674E-2</v>
      </c>
      <c r="R51" s="14">
        <v>50</v>
      </c>
      <c r="S51" s="15" t="s">
        <v>345</v>
      </c>
      <c r="T51" s="16">
        <f>T50</f>
        <v>1130</v>
      </c>
      <c r="U51" s="16">
        <f>U50</f>
        <v>1200</v>
      </c>
      <c r="V51" s="16">
        <f>V50</f>
        <v>1270</v>
      </c>
      <c r="W51" s="16">
        <f>W50</f>
        <v>1339</v>
      </c>
      <c r="X51" s="16">
        <f>X50</f>
        <v>1409</v>
      </c>
    </row>
    <row r="52" spans="1:24" ht="15" customHeight="1" x14ac:dyDescent="0.2">
      <c r="A52" s="6" t="s">
        <v>346</v>
      </c>
      <c r="B52" s="11">
        <v>23300</v>
      </c>
      <c r="C52" s="11">
        <v>22519</v>
      </c>
      <c r="D52" s="11">
        <v>20857</v>
      </c>
      <c r="E52" s="11">
        <v>19215</v>
      </c>
      <c r="F52" s="11">
        <v>17618</v>
      </c>
      <c r="G52" s="41">
        <f t="shared" si="9"/>
        <v>23300</v>
      </c>
      <c r="H52" s="41">
        <f t="shared" si="10"/>
        <v>22519</v>
      </c>
      <c r="I52" s="41">
        <f t="shared" si="5"/>
        <v>20857</v>
      </c>
      <c r="J52" s="41">
        <f t="shared" si="6"/>
        <v>19215</v>
      </c>
      <c r="K52" s="41">
        <f t="shared" si="7"/>
        <v>17618</v>
      </c>
      <c r="L52" s="12">
        <f>IFERROR(G52/'Income Statement'!B25,"")</f>
        <v>0.50984682713347917</v>
      </c>
      <c r="M52" s="12">
        <f>IFERROR(H52/'Income Statement'!C25,"")</f>
        <v>0.50960646314693703</v>
      </c>
      <c r="N52" s="12">
        <f>IFERROR(I52/'Income Statement'!D25,"")</f>
        <v>0.47892078071182548</v>
      </c>
      <c r="O52" s="12">
        <f>IFERROR(J52/'Income Statement'!E25,"")</f>
        <v>0.52160812204788531</v>
      </c>
      <c r="P52" s="12">
        <f>IFERROR(K52/'Income Statement'!F25,"")</f>
        <v>0.51907722223859054</v>
      </c>
      <c r="Q52" s="12">
        <f t="shared" si="8"/>
        <v>0.50781188305574343</v>
      </c>
      <c r="R52" s="14" t="s">
        <v>287</v>
      </c>
      <c r="S52" s="15" t="s">
        <v>347</v>
      </c>
      <c r="T52" s="16">
        <f>ROUND(Q52*'Income Statement'!K25,0)</f>
        <v>25443</v>
      </c>
      <c r="U52" s="16">
        <f>ROUND(Q52*'Income Statement'!L25,0)</f>
        <v>27011</v>
      </c>
      <c r="V52" s="16">
        <f>ROUND(Q52*'Income Statement'!M25,0)</f>
        <v>28579</v>
      </c>
      <c r="W52" s="16">
        <f>ROUND(Q52*'Income Statement'!N25,0)</f>
        <v>30146</v>
      </c>
      <c r="X52" s="16">
        <f>ROUND(Q52*'Income Statement'!O25,0)</f>
        <v>31714</v>
      </c>
    </row>
    <row r="53" spans="1:24" ht="15" customHeight="1" x14ac:dyDescent="0.2">
      <c r="A53" s="6" t="s">
        <v>348</v>
      </c>
      <c r="B53" s="11">
        <v>23300</v>
      </c>
      <c r="C53" s="11">
        <v>22519</v>
      </c>
      <c r="D53" s="11">
        <v>20857</v>
      </c>
      <c r="E53" s="11">
        <v>19215</v>
      </c>
      <c r="F53" s="11">
        <v>17618</v>
      </c>
      <c r="G53" s="41">
        <f t="shared" si="9"/>
        <v>23300</v>
      </c>
      <c r="H53" s="41">
        <f t="shared" si="10"/>
        <v>22519</v>
      </c>
      <c r="I53" s="41">
        <f t="shared" si="5"/>
        <v>20857</v>
      </c>
      <c r="J53" s="41">
        <f t="shared" si="6"/>
        <v>19215</v>
      </c>
      <c r="K53" s="41">
        <f t="shared" si="7"/>
        <v>17618</v>
      </c>
      <c r="L53" s="12">
        <f>IFERROR(G53/'Income Statement'!B25,"")</f>
        <v>0.50984682713347917</v>
      </c>
      <c r="M53" s="12">
        <f>IFERROR(H53/'Income Statement'!C25,"")</f>
        <v>0.50960646314693703</v>
      </c>
      <c r="N53" s="12">
        <f>IFERROR(I53/'Income Statement'!D25,"")</f>
        <v>0.47892078071182548</v>
      </c>
      <c r="O53" s="12">
        <f>IFERROR(J53/'Income Statement'!E25,"")</f>
        <v>0.52160812204788531</v>
      </c>
      <c r="P53" s="12">
        <f>IFERROR(K53/'Income Statement'!F25,"")</f>
        <v>0.51907722223859054</v>
      </c>
      <c r="Q53" s="12">
        <f t="shared" si="8"/>
        <v>0.50781188305574343</v>
      </c>
      <c r="R53" s="14">
        <v>52</v>
      </c>
      <c r="S53" s="15" t="s">
        <v>349</v>
      </c>
      <c r="T53" s="16">
        <f>T52</f>
        <v>25443</v>
      </c>
      <c r="U53" s="16">
        <f>U52</f>
        <v>27011</v>
      </c>
      <c r="V53" s="16">
        <f>V52</f>
        <v>28579</v>
      </c>
      <c r="W53" s="16">
        <f>W52</f>
        <v>30146</v>
      </c>
      <c r="X53" s="16">
        <f>X52</f>
        <v>31714</v>
      </c>
    </row>
    <row r="54" spans="1:24" ht="15" customHeight="1" x14ac:dyDescent="0.2">
      <c r="A54" s="6" t="s">
        <v>350</v>
      </c>
      <c r="B54" s="11">
        <v>2050</v>
      </c>
      <c r="C54" s="11">
        <v>1910</v>
      </c>
      <c r="D54" s="11">
        <v>1812</v>
      </c>
      <c r="E54" s="11">
        <v>1744</v>
      </c>
      <c r="F54" s="11">
        <v>1745</v>
      </c>
      <c r="G54" s="41">
        <f t="shared" si="9"/>
        <v>2050</v>
      </c>
      <c r="H54" s="41">
        <f t="shared" si="10"/>
        <v>1910</v>
      </c>
      <c r="I54" s="41">
        <f t="shared" si="5"/>
        <v>1812</v>
      </c>
      <c r="J54" s="41">
        <f t="shared" si="6"/>
        <v>1744</v>
      </c>
      <c r="K54" s="41">
        <f t="shared" si="7"/>
        <v>1745</v>
      </c>
      <c r="L54" s="12">
        <f>IFERROR(G54/'Income Statement'!B25,"")</f>
        <v>4.4857768052516414E-2</v>
      </c>
      <c r="M54" s="12">
        <f>IFERROR(H54/'Income Statement'!C25,"")</f>
        <v>4.3223426644640066E-2</v>
      </c>
      <c r="N54" s="12">
        <f>IFERROR(I54/'Income Statement'!D25,"")</f>
        <v>4.1607347876004591E-2</v>
      </c>
      <c r="O54" s="12">
        <f>IFERROR(J54/'Income Statement'!E25,"")</f>
        <v>4.7342418155165863E-2</v>
      </c>
      <c r="P54" s="12">
        <f>IFERROR(K54/'Income Statement'!F25,"")</f>
        <v>5.1412745646857785E-2</v>
      </c>
      <c r="Q54" s="12">
        <f t="shared" si="8"/>
        <v>4.5688741275036936E-2</v>
      </c>
      <c r="R54" s="14" t="s">
        <v>287</v>
      </c>
      <c r="S54" s="15" t="s">
        <v>351</v>
      </c>
      <c r="T54" s="16">
        <f>ROUND(Q54*'Income Statement'!K25,0)</f>
        <v>2289</v>
      </c>
      <c r="U54" s="16">
        <f>ROUND(Q54*'Income Statement'!L25,0)</f>
        <v>2430</v>
      </c>
      <c r="V54" s="16">
        <f>ROUND(Q54*'Income Statement'!M25,0)</f>
        <v>2571</v>
      </c>
      <c r="W54" s="16">
        <f>ROUND(Q54*'Income Statement'!N25,0)</f>
        <v>2712</v>
      </c>
      <c r="X54" s="16">
        <f>ROUND(Q54*'Income Statement'!O25,0)</f>
        <v>2853</v>
      </c>
    </row>
    <row r="55" spans="1:24" ht="15" customHeight="1" x14ac:dyDescent="0.2">
      <c r="A55" s="6" t="s">
        <v>352</v>
      </c>
      <c r="B55" s="11">
        <v>436</v>
      </c>
      <c r="C55" s="11">
        <v>383</v>
      </c>
      <c r="D55" s="11">
        <v>323</v>
      </c>
      <c r="E55" s="11">
        <v>321</v>
      </c>
      <c r="F55" s="11">
        <v>369</v>
      </c>
      <c r="G55" s="41">
        <f t="shared" si="9"/>
        <v>436</v>
      </c>
      <c r="H55" s="41">
        <f t="shared" si="10"/>
        <v>383</v>
      </c>
      <c r="I55" s="41">
        <f t="shared" si="5"/>
        <v>323</v>
      </c>
      <c r="J55" s="41">
        <f t="shared" si="6"/>
        <v>321</v>
      </c>
      <c r="K55" s="41">
        <f t="shared" si="7"/>
        <v>369</v>
      </c>
      <c r="L55" s="12">
        <f>IFERROR(G55/'Income Statement'!B25,"")</f>
        <v>9.5404814004376361E-3</v>
      </c>
      <c r="M55" s="12">
        <f>IFERROR(H55/'Income Statement'!C25,"")</f>
        <v>8.6673153952341077E-3</v>
      </c>
      <c r="N55" s="12">
        <f>IFERROR(I55/'Income Statement'!D25,"")</f>
        <v>7.4167623421354766E-3</v>
      </c>
      <c r="O55" s="12">
        <f>IFERROR(J55/'Income Statement'!E25,"")</f>
        <v>8.7138281122753677E-3</v>
      </c>
      <c r="P55" s="12">
        <f>IFERROR(K55/'Income Statement'!F25,"")</f>
        <v>1.0871806959134969E-2</v>
      </c>
      <c r="Q55" s="12">
        <f t="shared" si="8"/>
        <v>9.0420388418435103E-3</v>
      </c>
      <c r="R55" s="14" t="s">
        <v>287</v>
      </c>
      <c r="S55" s="15" t="s">
        <v>353</v>
      </c>
      <c r="T55" s="16">
        <f>ROUND(Q55*'Income Statement'!K25,0)</f>
        <v>453</v>
      </c>
      <c r="U55" s="16">
        <f>ROUND(Q55*'Income Statement'!L25,0)</f>
        <v>481</v>
      </c>
      <c r="V55" s="16">
        <f>ROUND(Q55*'Income Statement'!M25,0)</f>
        <v>509</v>
      </c>
      <c r="W55" s="16">
        <f>ROUND(Q55*'Income Statement'!N25,0)</f>
        <v>537</v>
      </c>
      <c r="X55" s="16">
        <f>ROUND(Q55*'Income Statement'!O25,0)</f>
        <v>565</v>
      </c>
    </row>
    <row r="56" spans="1:24" ht="15" customHeight="1" x14ac:dyDescent="0.2">
      <c r="A56" s="6" t="s">
        <v>354</v>
      </c>
      <c r="B56" s="11">
        <v>588</v>
      </c>
      <c r="C56" s="11">
        <v>541</v>
      </c>
      <c r="D56" s="11">
        <v>535</v>
      </c>
      <c r="E56" s="11">
        <v>489</v>
      </c>
      <c r="F56" s="11">
        <v>506</v>
      </c>
      <c r="G56" s="41">
        <f t="shared" si="9"/>
        <v>588</v>
      </c>
      <c r="H56" s="41">
        <f t="shared" si="10"/>
        <v>541</v>
      </c>
      <c r="I56" s="41">
        <f t="shared" si="5"/>
        <v>535</v>
      </c>
      <c r="J56" s="41">
        <f t="shared" si="6"/>
        <v>489</v>
      </c>
      <c r="K56" s="41">
        <f t="shared" si="7"/>
        <v>506</v>
      </c>
      <c r="L56" s="12">
        <f>IFERROR(G56/'Income Statement'!B25,"")</f>
        <v>1.2866520787746171E-2</v>
      </c>
      <c r="M56" s="12">
        <f>IFERROR(H56/'Income Statement'!C25,"")</f>
        <v>1.2242865871597003E-2</v>
      </c>
      <c r="N56" s="12">
        <f>IFERROR(I56/'Income Statement'!D25,"")</f>
        <v>1.2284730195177956E-2</v>
      </c>
      <c r="O56" s="12">
        <f>IFERROR(J56/'Income Statement'!E25,"")</f>
        <v>1.3274336283185841E-2</v>
      </c>
      <c r="P56" s="12">
        <f>IFERROR(K56/'Income Statement'!F25,"")</f>
        <v>1.4908223093014348E-2</v>
      </c>
      <c r="Q56" s="12">
        <f t="shared" si="8"/>
        <v>1.3115335246144263E-2</v>
      </c>
      <c r="R56" s="14" t="s">
        <v>287</v>
      </c>
      <c r="S56" s="15" t="s">
        <v>355</v>
      </c>
      <c r="T56" s="16">
        <f>ROUND(Q56*'Income Statement'!K25,0)</f>
        <v>657</v>
      </c>
      <c r="U56" s="16">
        <f>ROUND(Q56*'Income Statement'!L25,0)</f>
        <v>698</v>
      </c>
      <c r="V56" s="16">
        <f>ROUND(Q56*'Income Statement'!M25,0)</f>
        <v>738</v>
      </c>
      <c r="W56" s="16">
        <f>ROUND(Q56*'Income Statement'!N25,0)</f>
        <v>779</v>
      </c>
      <c r="X56" s="16">
        <f>ROUND(Q56*'Income Statement'!O25,0)</f>
        <v>819</v>
      </c>
    </row>
    <row r="57" spans="1:24" ht="15" customHeight="1" x14ac:dyDescent="0.2">
      <c r="A57" s="6" t="s">
        <v>356</v>
      </c>
      <c r="B57" s="11">
        <v>1026</v>
      </c>
      <c r="C57" s="11">
        <v>986</v>
      </c>
      <c r="D57" s="11">
        <v>954</v>
      </c>
      <c r="E57" s="11">
        <v>934</v>
      </c>
      <c r="F57" s="11">
        <v>870</v>
      </c>
      <c r="G57" s="41">
        <f t="shared" si="9"/>
        <v>1026</v>
      </c>
      <c r="H57" s="41">
        <f t="shared" si="10"/>
        <v>986</v>
      </c>
      <c r="I57" s="41">
        <f t="shared" si="5"/>
        <v>954</v>
      </c>
      <c r="J57" s="41">
        <f t="shared" si="6"/>
        <v>934</v>
      </c>
      <c r="K57" s="41">
        <f t="shared" si="7"/>
        <v>870</v>
      </c>
      <c r="L57" s="12">
        <f>IFERROR(G57/'Income Statement'!B25,"")</f>
        <v>2.2450765864332603E-2</v>
      </c>
      <c r="M57" s="12">
        <f>IFERROR(H57/'Income Statement'!C25,"")</f>
        <v>2.2313245377808957E-2</v>
      </c>
      <c r="N57" s="12">
        <f>IFERROR(I57/'Income Statement'!D25,"")</f>
        <v>2.190585533869116E-2</v>
      </c>
      <c r="O57" s="12">
        <f>IFERROR(J57/'Income Statement'!E25,"")</f>
        <v>2.5354253759704654E-2</v>
      </c>
      <c r="P57" s="12">
        <f>IFERROR(K57/'Income Statement'!F25,"")</f>
        <v>2.5632715594708463E-2</v>
      </c>
      <c r="Q57" s="12">
        <f t="shared" si="8"/>
        <v>2.3531367187049169E-2</v>
      </c>
      <c r="R57" s="14" t="s">
        <v>287</v>
      </c>
      <c r="S57" s="15" t="s">
        <v>357</v>
      </c>
      <c r="T57" s="16">
        <f>ROUND(Q57*'Income Statement'!K25,0)</f>
        <v>1179</v>
      </c>
      <c r="U57" s="16">
        <f>ROUND(Q57*'Income Statement'!L25,0)</f>
        <v>1252</v>
      </c>
      <c r="V57" s="16">
        <f>ROUND(Q57*'Income Statement'!M25,0)</f>
        <v>1324</v>
      </c>
      <c r="W57" s="16">
        <f>ROUND(Q57*'Income Statement'!N25,0)</f>
        <v>1397</v>
      </c>
      <c r="X57" s="16">
        <f>ROUND(Q57*'Income Statement'!O25,0)</f>
        <v>1470</v>
      </c>
    </row>
    <row r="58" spans="1:24" ht="15" customHeight="1" x14ac:dyDescent="0.2">
      <c r="A58" s="6" t="s">
        <v>358</v>
      </c>
      <c r="B58" s="11">
        <v>8787</v>
      </c>
      <c r="C58" s="11">
        <v>9151</v>
      </c>
      <c r="D58" s="11">
        <v>8490</v>
      </c>
      <c r="E58" s="11">
        <v>7648</v>
      </c>
      <c r="F58" s="11">
        <v>6985</v>
      </c>
      <c r="G58" s="41">
        <f t="shared" si="9"/>
        <v>8787</v>
      </c>
      <c r="H58" s="41">
        <f t="shared" si="10"/>
        <v>9151</v>
      </c>
      <c r="I58" s="41">
        <f t="shared" si="5"/>
        <v>8490</v>
      </c>
      <c r="J58" s="41">
        <f t="shared" si="6"/>
        <v>7648</v>
      </c>
      <c r="K58" s="41">
        <f t="shared" si="7"/>
        <v>6985</v>
      </c>
      <c r="L58" s="12">
        <f>IFERROR(G58/'Income Statement'!B25,"")</f>
        <v>0.19227571115973741</v>
      </c>
      <c r="M58" s="12">
        <f>IFERROR(H58/'Income Statement'!C25,"")</f>
        <v>0.20708773676706874</v>
      </c>
      <c r="N58" s="12">
        <f>IFERROR(I58/'Income Statement'!D25,"")</f>
        <v>0.19494833524684271</v>
      </c>
      <c r="O58" s="12">
        <f>IFERROR(J58/'Income Statement'!E25,"")</f>
        <v>0.20761170530430534</v>
      </c>
      <c r="P58" s="12">
        <f>IFERROR(K58/'Income Statement'!F25,"")</f>
        <v>0.20579829704487199</v>
      </c>
      <c r="Q58" s="12">
        <f t="shared" si="8"/>
        <v>0.20154435710456525</v>
      </c>
      <c r="R58" s="14" t="s">
        <v>287</v>
      </c>
      <c r="S58" s="15" t="s">
        <v>359</v>
      </c>
      <c r="T58" s="16">
        <f>ROUND(Q58*'Income Statement'!K25,0)</f>
        <v>10098</v>
      </c>
      <c r="U58" s="16">
        <f>ROUND(Q58*'Income Statement'!L25,0)</f>
        <v>10720</v>
      </c>
      <c r="V58" s="16">
        <f>ROUND(Q58*'Income Statement'!M25,0)</f>
        <v>11343</v>
      </c>
      <c r="W58" s="16">
        <f>ROUND(Q58*'Income Statement'!N25,0)</f>
        <v>11965</v>
      </c>
      <c r="X58" s="16">
        <f>ROUND(Q58*'Income Statement'!O25,0)</f>
        <v>12587</v>
      </c>
    </row>
    <row r="59" spans="1:24" ht="15" customHeight="1" x14ac:dyDescent="0.2">
      <c r="A59" s="6" t="s">
        <v>360</v>
      </c>
      <c r="B59" s="11">
        <v>11472</v>
      </c>
      <c r="C59" s="11">
        <v>10493</v>
      </c>
      <c r="D59" s="11">
        <v>9626</v>
      </c>
      <c r="E59" s="11">
        <v>8953</v>
      </c>
      <c r="F59" s="11">
        <v>8022</v>
      </c>
      <c r="G59" s="41">
        <f t="shared" si="9"/>
        <v>11472</v>
      </c>
      <c r="H59" s="41">
        <f t="shared" si="10"/>
        <v>10493</v>
      </c>
      <c r="I59" s="41">
        <f t="shared" si="5"/>
        <v>9626</v>
      </c>
      <c r="J59" s="41">
        <f t="shared" si="6"/>
        <v>8953</v>
      </c>
      <c r="K59" s="41">
        <f t="shared" si="7"/>
        <v>8022</v>
      </c>
      <c r="L59" s="12">
        <f>IFERROR(G59/'Income Statement'!B25,"")</f>
        <v>0.25102844638949673</v>
      </c>
      <c r="M59" s="12">
        <f>IFERROR(H59/'Income Statement'!C25,"")</f>
        <v>0.23745728574984726</v>
      </c>
      <c r="N59" s="12">
        <f>IFERROR(I59/'Income Statement'!D25,"")</f>
        <v>0.22103329506314581</v>
      </c>
      <c r="O59" s="12">
        <f>IFERROR(J59/'Income Statement'!E25,"")</f>
        <v>0.24303708127477061</v>
      </c>
      <c r="P59" s="12">
        <f>IFERROR(K59/'Income Statement'!F25,"")</f>
        <v>0.23635131551810495</v>
      </c>
      <c r="Q59" s="12">
        <f t="shared" si="8"/>
        <v>0.23778148479907307</v>
      </c>
      <c r="R59" s="14" t="s">
        <v>287</v>
      </c>
      <c r="S59" s="15" t="s">
        <v>361</v>
      </c>
      <c r="T59" s="16">
        <f>ROUND(Q59*'Income Statement'!K25,0)</f>
        <v>11914</v>
      </c>
      <c r="U59" s="16">
        <f>ROUND(Q59*'Income Statement'!L25,0)</f>
        <v>12648</v>
      </c>
      <c r="V59" s="16">
        <f>ROUND(Q59*'Income Statement'!M25,0)</f>
        <v>13382</v>
      </c>
      <c r="W59" s="16">
        <f>ROUND(Q59*'Income Statement'!N25,0)</f>
        <v>14116</v>
      </c>
      <c r="X59" s="16">
        <f>ROUND(Q59*'Income Statement'!O25,0)</f>
        <v>14850</v>
      </c>
    </row>
    <row r="60" spans="1:24" ht="15" customHeight="1" x14ac:dyDescent="0.2">
      <c r="A60" s="6" t="s">
        <v>362</v>
      </c>
      <c r="B60" s="11">
        <v>11472</v>
      </c>
      <c r="C60" s="11">
        <v>10493</v>
      </c>
      <c r="D60" s="11">
        <v>9626</v>
      </c>
      <c r="E60" s="11">
        <v>8953</v>
      </c>
      <c r="F60" s="11">
        <v>8022</v>
      </c>
      <c r="G60" s="41">
        <f t="shared" si="9"/>
        <v>11472</v>
      </c>
      <c r="H60" s="41">
        <f t="shared" si="10"/>
        <v>10493</v>
      </c>
      <c r="I60" s="41">
        <f t="shared" si="5"/>
        <v>9626</v>
      </c>
      <c r="J60" s="41">
        <f t="shared" si="6"/>
        <v>8953</v>
      </c>
      <c r="K60" s="41">
        <f t="shared" si="7"/>
        <v>8022</v>
      </c>
      <c r="L60" s="12">
        <f>IFERROR(G60/'Income Statement'!B25,"")</f>
        <v>0.25102844638949673</v>
      </c>
      <c r="M60" s="12">
        <f>IFERROR(H60/'Income Statement'!C25,"")</f>
        <v>0.23745728574984726</v>
      </c>
      <c r="N60" s="12">
        <f>IFERROR(I60/'Income Statement'!D25,"")</f>
        <v>0.22103329506314581</v>
      </c>
      <c r="O60" s="12">
        <f>IFERROR(J60/'Income Statement'!E25,"")</f>
        <v>0.24303708127477061</v>
      </c>
      <c r="P60" s="12">
        <f>IFERROR(K60/'Income Statement'!F25,"")</f>
        <v>0.23635131551810495</v>
      </c>
      <c r="Q60" s="12">
        <f t="shared" si="8"/>
        <v>0.23778148479907307</v>
      </c>
      <c r="R60" s="14">
        <v>59</v>
      </c>
      <c r="S60" s="15" t="s">
        <v>363</v>
      </c>
      <c r="T60" s="16">
        <f>T59</f>
        <v>11914</v>
      </c>
      <c r="U60" s="16">
        <f>U59</f>
        <v>12648</v>
      </c>
      <c r="V60" s="16">
        <f>V59</f>
        <v>13382</v>
      </c>
      <c r="W60" s="16">
        <f>W59</f>
        <v>14116</v>
      </c>
      <c r="X60" s="16">
        <f>X59</f>
        <v>14850</v>
      </c>
    </row>
    <row r="61" spans="1:24" ht="15" customHeight="1" x14ac:dyDescent="0.2">
      <c r="A61" s="6" t="s">
        <v>364</v>
      </c>
      <c r="B61" s="11">
        <v>991</v>
      </c>
      <c r="C61" s="11">
        <v>965</v>
      </c>
      <c r="D61" s="11">
        <v>929</v>
      </c>
      <c r="E61" s="11">
        <v>870</v>
      </c>
      <c r="F61" s="11">
        <v>866</v>
      </c>
      <c r="G61" s="41">
        <f t="shared" si="9"/>
        <v>991</v>
      </c>
      <c r="H61" s="41">
        <f t="shared" si="10"/>
        <v>965</v>
      </c>
      <c r="I61" s="41">
        <f t="shared" si="5"/>
        <v>929</v>
      </c>
      <c r="J61" s="41">
        <f t="shared" si="6"/>
        <v>870</v>
      </c>
      <c r="K61" s="41">
        <f t="shared" si="7"/>
        <v>866</v>
      </c>
      <c r="L61" s="12">
        <f>IFERROR(G61/'Income Statement'!B25,"")</f>
        <v>2.1684901531728664E-2</v>
      </c>
      <c r="M61" s="12">
        <f>IFERROR(H61/'Income Statement'!C25,"")</f>
        <v>2.1838013985380978E-2</v>
      </c>
      <c r="N61" s="12">
        <f>IFERROR(I61/'Income Statement'!D25,"")</f>
        <v>2.1331802525832378E-2</v>
      </c>
      <c r="O61" s="12">
        <f>IFERROR(J61/'Income Statement'!E25,"")</f>
        <v>2.3616917313643519E-2</v>
      </c>
      <c r="P61" s="12">
        <f>IFERROR(K61/'Income Statement'!F25,"")</f>
        <v>2.5514864028755781E-2</v>
      </c>
      <c r="Q61" s="12">
        <f t="shared" si="8"/>
        <v>2.2797299877068262E-2</v>
      </c>
      <c r="R61" s="14" t="s">
        <v>287</v>
      </c>
      <c r="S61" s="15" t="s">
        <v>365</v>
      </c>
      <c r="T61" s="16">
        <f>ROUND(Q61*'Income Statement'!K25,0)</f>
        <v>1142</v>
      </c>
      <c r="U61" s="16">
        <f>ROUND(Q61*'Income Statement'!L25,0)</f>
        <v>1213</v>
      </c>
      <c r="V61" s="16">
        <f>ROUND(Q61*'Income Statement'!M25,0)</f>
        <v>1283</v>
      </c>
      <c r="W61" s="16">
        <f>ROUND(Q61*'Income Statement'!N25,0)</f>
        <v>1353</v>
      </c>
      <c r="X61" s="16">
        <f>ROUND(Q61*'Income Statement'!O25,0)</f>
        <v>1424</v>
      </c>
    </row>
    <row r="62" spans="1:24" ht="15" customHeight="1" x14ac:dyDescent="0.2">
      <c r="A62" s="6" t="s">
        <v>366</v>
      </c>
      <c r="B62" s="11">
        <v>991</v>
      </c>
      <c r="C62" s="11">
        <v>965</v>
      </c>
      <c r="D62" s="11">
        <v>929</v>
      </c>
      <c r="E62" s="11">
        <v>870</v>
      </c>
      <c r="F62" s="11">
        <v>866</v>
      </c>
      <c r="G62" s="41">
        <f t="shared" si="9"/>
        <v>991</v>
      </c>
      <c r="H62" s="41">
        <f t="shared" si="10"/>
        <v>965</v>
      </c>
      <c r="I62" s="41">
        <f t="shared" si="5"/>
        <v>929</v>
      </c>
      <c r="J62" s="41">
        <f t="shared" si="6"/>
        <v>870</v>
      </c>
      <c r="K62" s="41">
        <f t="shared" si="7"/>
        <v>866</v>
      </c>
      <c r="L62" s="12">
        <f>IFERROR(G62/'Income Statement'!B25,"")</f>
        <v>2.1684901531728664E-2</v>
      </c>
      <c r="M62" s="12">
        <f>IFERROR(H62/'Income Statement'!C25,"")</f>
        <v>2.1838013985380978E-2</v>
      </c>
      <c r="N62" s="12">
        <f>IFERROR(I62/'Income Statement'!D25,"")</f>
        <v>2.1331802525832378E-2</v>
      </c>
      <c r="O62" s="12">
        <f>IFERROR(J62/'Income Statement'!E25,"")</f>
        <v>2.3616917313643519E-2</v>
      </c>
      <c r="P62" s="12">
        <f>IFERROR(K62/'Income Statement'!F25,"")</f>
        <v>2.5514864028755781E-2</v>
      </c>
      <c r="Q62" s="12">
        <f t="shared" si="8"/>
        <v>2.2797299877068262E-2</v>
      </c>
      <c r="R62" s="14">
        <v>61</v>
      </c>
      <c r="S62" s="15" t="s">
        <v>367</v>
      </c>
      <c r="T62" s="16">
        <f>T61</f>
        <v>1142</v>
      </c>
      <c r="U62" s="16">
        <f>U61</f>
        <v>1213</v>
      </c>
      <c r="V62" s="16">
        <f>V61</f>
        <v>1283</v>
      </c>
      <c r="W62" s="16">
        <f>W61</f>
        <v>1353</v>
      </c>
      <c r="X62" s="16">
        <f>X61</f>
        <v>1424</v>
      </c>
    </row>
    <row r="63" spans="1:24" ht="15" customHeight="1" x14ac:dyDescent="0.2">
      <c r="A63" s="6" t="s">
        <v>368</v>
      </c>
      <c r="B63" s="11">
        <v>12260</v>
      </c>
      <c r="C63" s="11">
        <v>11369</v>
      </c>
      <c r="D63" s="11">
        <v>9816</v>
      </c>
      <c r="E63" s="11">
        <v>8451</v>
      </c>
      <c r="F63" s="11">
        <v>7221</v>
      </c>
      <c r="G63" s="41">
        <f t="shared" si="9"/>
        <v>12260</v>
      </c>
      <c r="H63" s="41">
        <f t="shared" si="10"/>
        <v>11369</v>
      </c>
      <c r="I63" s="41">
        <f t="shared" si="5"/>
        <v>9816</v>
      </c>
      <c r="J63" s="41">
        <f t="shared" si="6"/>
        <v>8451</v>
      </c>
      <c r="K63" s="41">
        <f t="shared" si="7"/>
        <v>7221</v>
      </c>
      <c r="L63" s="12">
        <f>IFERROR(G63/'Income Statement'!B25,"")</f>
        <v>0.26827133479212256</v>
      </c>
      <c r="M63" s="12">
        <f>IFERROR(H63/'Income Statement'!C25,"")</f>
        <v>0.25728122383398583</v>
      </c>
      <c r="N63" s="12">
        <f>IFERROR(I63/'Income Statement'!D25,"")</f>
        <v>0.22539609644087255</v>
      </c>
      <c r="O63" s="12">
        <f>IFERROR(J63/'Income Statement'!E25,"")</f>
        <v>0.22940984852597862</v>
      </c>
      <c r="P63" s="12">
        <f>IFERROR(K63/'Income Statement'!F25,"")</f>
        <v>0.21275153943608024</v>
      </c>
      <c r="Q63" s="12">
        <f t="shared" si="8"/>
        <v>0.23862200860580796</v>
      </c>
      <c r="R63" s="14" t="s">
        <v>287</v>
      </c>
      <c r="S63" s="15" t="s">
        <v>369</v>
      </c>
      <c r="T63" s="16">
        <f>ROUND(Q63*'Income Statement'!K25,0)</f>
        <v>11956</v>
      </c>
      <c r="U63" s="16">
        <f>ROUND(Q63*'Income Statement'!L25,0)</f>
        <v>12693</v>
      </c>
      <c r="V63" s="16">
        <f>ROUND(Q63*'Income Statement'!M25,0)</f>
        <v>13429</v>
      </c>
      <c r="W63" s="16">
        <f>ROUND(Q63*'Income Statement'!N25,0)</f>
        <v>14166</v>
      </c>
      <c r="X63" s="16">
        <f>ROUND(Q63*'Income Statement'!O25,0)</f>
        <v>14902</v>
      </c>
    </row>
    <row r="64" spans="1:24" ht="15" customHeight="1" x14ac:dyDescent="0.2">
      <c r="A64" s="6" t="s">
        <v>370</v>
      </c>
      <c r="B64" s="11">
        <v>12260</v>
      </c>
      <c r="C64" s="11">
        <v>11369</v>
      </c>
      <c r="D64" s="11">
        <v>9816</v>
      </c>
      <c r="E64" s="11">
        <v>8451</v>
      </c>
      <c r="F64" s="11">
        <v>7221</v>
      </c>
      <c r="G64" s="41">
        <f t="shared" si="9"/>
        <v>12260</v>
      </c>
      <c r="H64" s="41">
        <f t="shared" si="10"/>
        <v>11369</v>
      </c>
      <c r="I64" s="41">
        <f t="shared" si="5"/>
        <v>9816</v>
      </c>
      <c r="J64" s="41">
        <f t="shared" si="6"/>
        <v>8451</v>
      </c>
      <c r="K64" s="41">
        <f t="shared" si="7"/>
        <v>7221</v>
      </c>
      <c r="L64" s="12">
        <f>IFERROR(G64/'Income Statement'!B25,"")</f>
        <v>0.26827133479212256</v>
      </c>
      <c r="M64" s="12">
        <f>IFERROR(H64/'Income Statement'!C25,"")</f>
        <v>0.25728122383398583</v>
      </c>
      <c r="N64" s="12">
        <f>IFERROR(I64/'Income Statement'!D25,"")</f>
        <v>0.22539609644087255</v>
      </c>
      <c r="O64" s="12">
        <f>IFERROR(J64/'Income Statement'!E25,"")</f>
        <v>0.22940984852597862</v>
      </c>
      <c r="P64" s="12">
        <f>IFERROR(K64/'Income Statement'!F25,"")</f>
        <v>0.21275153943608024</v>
      </c>
      <c r="Q64" s="12">
        <f t="shared" si="8"/>
        <v>0.23862200860580796</v>
      </c>
      <c r="R64" s="14">
        <v>63</v>
      </c>
      <c r="S64" s="15" t="s">
        <v>371</v>
      </c>
      <c r="T64" s="16">
        <f>T63</f>
        <v>11956</v>
      </c>
      <c r="U64" s="16">
        <f>U63</f>
        <v>12693</v>
      </c>
      <c r="V64" s="16">
        <f>V63</f>
        <v>13429</v>
      </c>
      <c r="W64" s="16">
        <f>W63</f>
        <v>14166</v>
      </c>
      <c r="X64" s="16">
        <f>X63</f>
        <v>14902</v>
      </c>
    </row>
    <row r="65" spans="1:24" ht="15" customHeight="1" x14ac:dyDescent="0.2">
      <c r="A65" s="6" t="s">
        <v>372</v>
      </c>
      <c r="B65" s="11">
        <v>949</v>
      </c>
      <c r="C65" s="11">
        <v>892</v>
      </c>
      <c r="D65" s="11">
        <v>805</v>
      </c>
      <c r="E65" s="11">
        <v>732</v>
      </c>
      <c r="F65" s="11">
        <v>675</v>
      </c>
      <c r="G65" s="41">
        <f t="shared" si="9"/>
        <v>949</v>
      </c>
      <c r="H65" s="41">
        <f t="shared" si="10"/>
        <v>892</v>
      </c>
      <c r="I65" s="41">
        <f t="shared" si="5"/>
        <v>805</v>
      </c>
      <c r="J65" s="41">
        <f t="shared" si="6"/>
        <v>732</v>
      </c>
      <c r="K65" s="41">
        <f t="shared" si="7"/>
        <v>675</v>
      </c>
      <c r="L65" s="12">
        <f>IFERROR(G65/'Income Statement'!B25,"")</f>
        <v>2.0765864332603939E-2</v>
      </c>
      <c r="M65" s="12">
        <f>IFERROR(H65/'Income Statement'!C25,"")</f>
        <v>2.0186019145036094E-2</v>
      </c>
      <c r="N65" s="12">
        <f>IFERROR(I65/'Income Statement'!D25,"")</f>
        <v>1.8484500574052813E-2</v>
      </c>
      <c r="O65" s="12">
        <f>IFERROR(J65/'Income Statement'!E25,"")</f>
        <v>1.9870785601824204E-2</v>
      </c>
      <c r="P65" s="12">
        <f>IFERROR(K65/'Income Statement'!F25,"")</f>
        <v>1.9887451754515187E-2</v>
      </c>
      <c r="Q65" s="12">
        <f t="shared" si="8"/>
        <v>1.9838924281606447E-2</v>
      </c>
      <c r="R65" s="14" t="s">
        <v>287</v>
      </c>
      <c r="S65" s="15" t="s">
        <v>373</v>
      </c>
      <c r="T65" s="16">
        <f>ROUND(Q65*'Income Statement'!K25,0)</f>
        <v>994</v>
      </c>
      <c r="U65" s="16">
        <f>ROUND(Q65*'Income Statement'!L25,0)</f>
        <v>1055</v>
      </c>
      <c r="V65" s="16">
        <f>ROUND(Q65*'Income Statement'!M25,0)</f>
        <v>1116</v>
      </c>
      <c r="W65" s="16">
        <f>ROUND(Q65*'Income Statement'!N25,0)</f>
        <v>1178</v>
      </c>
      <c r="X65" s="16">
        <f>ROUND(Q65*'Income Statement'!O25,0)</f>
        <v>1239</v>
      </c>
    </row>
    <row r="66" spans="1:24" ht="15" customHeight="1" x14ac:dyDescent="0.2">
      <c r="A66" s="6" t="s">
        <v>374</v>
      </c>
      <c r="B66" s="11">
        <v>221</v>
      </c>
      <c r="C66" s="11">
        <v>220</v>
      </c>
      <c r="D66" s="11">
        <v>206</v>
      </c>
      <c r="E66" s="11">
        <v>192</v>
      </c>
      <c r="F66" s="11">
        <v>182</v>
      </c>
      <c r="G66" s="41">
        <f t="shared" si="9"/>
        <v>221</v>
      </c>
      <c r="H66" s="41">
        <f t="shared" si="10"/>
        <v>220</v>
      </c>
      <c r="I66" s="41">
        <f t="shared" si="5"/>
        <v>206</v>
      </c>
      <c r="J66" s="41">
        <f t="shared" si="6"/>
        <v>192</v>
      </c>
      <c r="K66" s="41">
        <f t="shared" si="7"/>
        <v>182</v>
      </c>
      <c r="L66" s="12">
        <f>IFERROR(G66/'Income Statement'!B25,"")</f>
        <v>4.8358862144420129E-3</v>
      </c>
      <c r="M66" s="12">
        <f>IFERROR(H66/'Income Statement'!C25,"")</f>
        <v>4.9786145873407413E-3</v>
      </c>
      <c r="N66" s="12">
        <f>IFERROR(I66/'Income Statement'!D25,"")</f>
        <v>4.7301951779563723E-3</v>
      </c>
      <c r="O66" s="12">
        <f>IFERROR(J66/'Income Statement'!E25,"")</f>
        <v>5.2120093381833972E-3</v>
      </c>
      <c r="P66" s="12">
        <f>IFERROR(K66/'Income Statement'!F25,"")</f>
        <v>5.3622462508470577E-3</v>
      </c>
      <c r="Q66" s="12">
        <f t="shared" si="8"/>
        <v>5.0237903137539163E-3</v>
      </c>
      <c r="R66" s="14" t="s">
        <v>287</v>
      </c>
      <c r="S66" s="15" t="s">
        <v>375</v>
      </c>
      <c r="T66" s="16">
        <f>ROUND(Q66*'Income Statement'!K25,0)</f>
        <v>252</v>
      </c>
      <c r="U66" s="16">
        <f>ROUND(Q66*'Income Statement'!L25,0)</f>
        <v>267</v>
      </c>
      <c r="V66" s="16">
        <f>ROUND(Q66*'Income Statement'!M25,0)</f>
        <v>283</v>
      </c>
      <c r="W66" s="16">
        <f>ROUND(Q66*'Income Statement'!N25,0)</f>
        <v>298</v>
      </c>
      <c r="X66" s="16">
        <f>ROUND(Q66*'Income Statement'!O25,0)</f>
        <v>314</v>
      </c>
    </row>
    <row r="67" spans="1:24" ht="15" customHeight="1" x14ac:dyDescent="0.2">
      <c r="A67" s="6" t="s">
        <v>376</v>
      </c>
      <c r="B67" s="11">
        <v>728</v>
      </c>
      <c r="C67" s="11">
        <v>672</v>
      </c>
      <c r="D67" s="11">
        <v>599</v>
      </c>
      <c r="E67" s="11">
        <v>540</v>
      </c>
      <c r="F67" s="11">
        <v>493</v>
      </c>
      <c r="G67" s="41">
        <f t="shared" si="9"/>
        <v>728</v>
      </c>
      <c r="H67" s="41">
        <f t="shared" si="10"/>
        <v>672</v>
      </c>
      <c r="I67" s="41">
        <f t="shared" si="5"/>
        <v>599</v>
      </c>
      <c r="J67" s="41">
        <f t="shared" si="6"/>
        <v>540</v>
      </c>
      <c r="K67" s="41">
        <f t="shared" si="7"/>
        <v>493</v>
      </c>
      <c r="L67" s="12">
        <f>IFERROR(G67/'Income Statement'!B25,"")</f>
        <v>1.5929978118161926E-2</v>
      </c>
      <c r="M67" s="12">
        <f>IFERROR(H67/'Income Statement'!C25,"")</f>
        <v>1.5207404557695354E-2</v>
      </c>
      <c r="N67" s="12">
        <f>IFERROR(I67/'Income Statement'!D25,"")</f>
        <v>1.375430539609644E-2</v>
      </c>
      <c r="O67" s="12">
        <f>IFERROR(J67/'Income Statement'!E25,"")</f>
        <v>1.4658776263640805E-2</v>
      </c>
      <c r="P67" s="12">
        <f>IFERROR(K67/'Income Statement'!F25,"")</f>
        <v>1.4525205503668129E-2</v>
      </c>
      <c r="Q67" s="12">
        <f t="shared" si="8"/>
        <v>1.4815133967852532E-2</v>
      </c>
      <c r="R67" s="14" t="s">
        <v>287</v>
      </c>
      <c r="S67" s="15" t="s">
        <v>377</v>
      </c>
      <c r="T67" s="16">
        <f>ROUND(Q67*'Income Statement'!K25,0)</f>
        <v>742</v>
      </c>
      <c r="U67" s="16">
        <f>ROUND(Q67*'Income Statement'!L25,0)</f>
        <v>788</v>
      </c>
      <c r="V67" s="16">
        <f>ROUND(Q67*'Income Statement'!M25,0)</f>
        <v>834</v>
      </c>
      <c r="W67" s="16">
        <f>ROUND(Q67*'Income Statement'!N25,0)</f>
        <v>880</v>
      </c>
      <c r="X67" s="16">
        <f>ROUND(Q67*'Income Statement'!O25,0)</f>
        <v>925</v>
      </c>
    </row>
    <row r="68" spans="1:24" ht="15" customHeight="1" x14ac:dyDescent="0.2">
      <c r="A68" s="6" t="s">
        <v>378</v>
      </c>
      <c r="B68" s="11">
        <v>5260</v>
      </c>
      <c r="C68" s="11">
        <v>5466</v>
      </c>
      <c r="D68" s="11">
        <v>5061</v>
      </c>
      <c r="E68" s="11">
        <v>4780</v>
      </c>
      <c r="F68" s="11">
        <v>4559</v>
      </c>
      <c r="G68" s="41">
        <f t="shared" si="9"/>
        <v>5260</v>
      </c>
      <c r="H68" s="41">
        <f t="shared" si="10"/>
        <v>5466</v>
      </c>
      <c r="I68" s="41">
        <f t="shared" si="5"/>
        <v>5061</v>
      </c>
      <c r="J68" s="41">
        <f t="shared" si="6"/>
        <v>4780</v>
      </c>
      <c r="K68" s="41">
        <f t="shared" si="7"/>
        <v>4559</v>
      </c>
      <c r="L68" s="12">
        <f>IFERROR(G68/'Income Statement'!B25,"")</f>
        <v>0.1150984682713348</v>
      </c>
      <c r="M68" s="12">
        <f>IFERROR(H68/'Income Statement'!C25,"")</f>
        <v>0.12369594242911132</v>
      </c>
      <c r="N68" s="12">
        <f>IFERROR(I68/'Income Statement'!D25,"")</f>
        <v>0.11621125143513203</v>
      </c>
      <c r="O68" s="12">
        <f>IFERROR(J68/'Income Statement'!E25,"")</f>
        <v>0.12975731581519084</v>
      </c>
      <c r="P68" s="12">
        <f>IFERROR(K68/'Income Statement'!F25,"")</f>
        <v>0.13432132229457</v>
      </c>
      <c r="Q68" s="12">
        <f t="shared" si="8"/>
        <v>0.12381686004906781</v>
      </c>
      <c r="R68" s="14" t="s">
        <v>287</v>
      </c>
      <c r="S68" s="15" t="s">
        <v>379</v>
      </c>
      <c r="T68" s="16">
        <f>ROUND(Q68*'Income Statement'!K25,0)</f>
        <v>6204</v>
      </c>
      <c r="U68" s="16">
        <f>ROUND(Q68*'Income Statement'!L25,0)</f>
        <v>6586</v>
      </c>
      <c r="V68" s="16">
        <f>ROUND(Q68*'Income Statement'!M25,0)</f>
        <v>6968</v>
      </c>
      <c r="W68" s="16">
        <f>ROUND(Q68*'Income Statement'!N25,0)</f>
        <v>7350</v>
      </c>
      <c r="X68" s="16">
        <f>ROUND(Q68*'Income Statement'!O25,0)</f>
        <v>7733</v>
      </c>
    </row>
    <row r="69" spans="1:24" ht="15" customHeight="1" x14ac:dyDescent="0.2">
      <c r="A69" s="6" t="s">
        <v>380</v>
      </c>
      <c r="B69" s="11">
        <v>6012</v>
      </c>
      <c r="C69" s="11">
        <v>4996</v>
      </c>
      <c r="D69" s="11">
        <v>3950</v>
      </c>
      <c r="E69" s="11">
        <v>2939</v>
      </c>
      <c r="F69" s="11">
        <v>1987</v>
      </c>
      <c r="G69" s="41">
        <f t="shared" si="9"/>
        <v>6012</v>
      </c>
      <c r="H69" s="41">
        <f t="shared" si="10"/>
        <v>4996</v>
      </c>
      <c r="I69" s="41">
        <f t="shared" si="5"/>
        <v>3950</v>
      </c>
      <c r="J69" s="41">
        <f t="shared" si="6"/>
        <v>2939</v>
      </c>
      <c r="K69" s="41">
        <f t="shared" si="7"/>
        <v>1987</v>
      </c>
      <c r="L69" s="12">
        <f>IFERROR(G69/'Income Statement'!B25,"")</f>
        <v>0.13155361050328226</v>
      </c>
      <c r="M69" s="12">
        <f>IFERROR(H69/'Income Statement'!C25,"")</f>
        <v>0.113059811265247</v>
      </c>
      <c r="N69" s="12">
        <f>IFERROR(I69/'Income Statement'!D25,"")</f>
        <v>9.0700344431687716E-2</v>
      </c>
      <c r="O69" s="12">
        <f>IFERROR(J69/'Income Statement'!E25,"")</f>
        <v>7.9781747108963574E-2</v>
      </c>
      <c r="P69" s="12">
        <f>IFERROR(K69/'Income Statement'!F25,"")</f>
        <v>5.8542765386995078E-2</v>
      </c>
      <c r="Q69" s="12">
        <f t="shared" ref="Q69:Q97" si="11">IFERROR(AVERAGE(L69:P69),"")</f>
        <v>9.4727655739235125E-2</v>
      </c>
      <c r="R69" s="14" t="s">
        <v>287</v>
      </c>
      <c r="S69" s="15" t="s">
        <v>381</v>
      </c>
      <c r="T69" s="16">
        <f>ROUND(Q69*'Income Statement'!K25,0)</f>
        <v>4746</v>
      </c>
      <c r="U69" s="16">
        <f>ROUND(Q69*'Income Statement'!L25,0)</f>
        <v>5039</v>
      </c>
      <c r="V69" s="16">
        <f>ROUND(Q69*'Income Statement'!M25,0)</f>
        <v>5331</v>
      </c>
      <c r="W69" s="16">
        <f>ROUND(Q69*'Income Statement'!N25,0)</f>
        <v>5624</v>
      </c>
      <c r="X69" s="16">
        <f>ROUND(Q69*'Income Statement'!O25,0)</f>
        <v>5916</v>
      </c>
    </row>
    <row r="70" spans="1:24" ht="15" customHeight="1" x14ac:dyDescent="0.2">
      <c r="A70" s="6" t="s">
        <v>382</v>
      </c>
      <c r="B70" s="11">
        <v>6012</v>
      </c>
      <c r="C70" s="11">
        <v>4996</v>
      </c>
      <c r="D70" s="11">
        <v>3950</v>
      </c>
      <c r="E70" s="11">
        <v>2939</v>
      </c>
      <c r="F70" s="11">
        <v>1987</v>
      </c>
      <c r="G70" s="41">
        <f t="shared" si="9"/>
        <v>6012</v>
      </c>
      <c r="H70" s="41">
        <f t="shared" si="10"/>
        <v>4996</v>
      </c>
      <c r="I70" s="41">
        <f t="shared" si="5"/>
        <v>3950</v>
      </c>
      <c r="J70" s="41">
        <f t="shared" si="6"/>
        <v>2939</v>
      </c>
      <c r="K70" s="41">
        <f t="shared" si="7"/>
        <v>1987</v>
      </c>
      <c r="L70" s="12">
        <f>IFERROR(G70/'Income Statement'!B25,"")</f>
        <v>0.13155361050328226</v>
      </c>
      <c r="M70" s="12">
        <f>IFERROR(H70/'Income Statement'!C25,"")</f>
        <v>0.113059811265247</v>
      </c>
      <c r="N70" s="12">
        <f>IFERROR(I70/'Income Statement'!D25,"")</f>
        <v>9.0700344431687716E-2</v>
      </c>
      <c r="O70" s="12">
        <f>IFERROR(J70/'Income Statement'!E25,"")</f>
        <v>7.9781747108963574E-2</v>
      </c>
      <c r="P70" s="12">
        <f>IFERROR(K70/'Income Statement'!F25,"")</f>
        <v>5.8542765386995078E-2</v>
      </c>
      <c r="Q70" s="12">
        <f t="shared" si="11"/>
        <v>9.4727655739235125E-2</v>
      </c>
      <c r="R70" s="14">
        <v>69</v>
      </c>
      <c r="S70" s="15" t="s">
        <v>383</v>
      </c>
      <c r="T70" s="16">
        <f>T69</f>
        <v>4746</v>
      </c>
      <c r="U70" s="16">
        <f>U69</f>
        <v>5039</v>
      </c>
      <c r="V70" s="16">
        <f>V69</f>
        <v>5331</v>
      </c>
      <c r="W70" s="16">
        <f>W69</f>
        <v>5624</v>
      </c>
      <c r="X70" s="16">
        <f>X69</f>
        <v>5916</v>
      </c>
    </row>
    <row r="71" spans="1:24" ht="15" customHeight="1" x14ac:dyDescent="0.2">
      <c r="A71" s="6" t="s">
        <v>384</v>
      </c>
      <c r="B71" s="11">
        <v>39</v>
      </c>
      <c r="C71" s="11">
        <v>15</v>
      </c>
      <c r="D71" s="11">
        <v>0</v>
      </c>
      <c r="E71" s="11">
        <v>0</v>
      </c>
      <c r="F71" s="6"/>
      <c r="G71" s="41">
        <f t="shared" si="9"/>
        <v>39</v>
      </c>
      <c r="H71" s="41">
        <f t="shared" si="10"/>
        <v>15</v>
      </c>
      <c r="I71" s="41">
        <f>D71</f>
        <v>0</v>
      </c>
      <c r="J71" s="41">
        <f>E71</f>
        <v>0</v>
      </c>
      <c r="L71" s="12">
        <f>IFERROR(G71/'Income Statement'!B25,"")</f>
        <v>8.5339168490153176E-4</v>
      </c>
      <c r="M71" s="12">
        <f>IFERROR(H71/'Income Statement'!C25,"")</f>
        <v>3.3945099459141415E-4</v>
      </c>
      <c r="N71" s="12">
        <f>IFERROR(I71/'Income Statement'!D25,"")</f>
        <v>0</v>
      </c>
      <c r="O71" s="12">
        <f>IFERROR(J71/'Income Statement'!E25,"")</f>
        <v>0</v>
      </c>
      <c r="P71" s="12">
        <f>IFERROR(K71/'Income Statement'!F25,"")</f>
        <v>0</v>
      </c>
      <c r="Q71" s="12">
        <f t="shared" si="11"/>
        <v>2.3856853589858916E-4</v>
      </c>
      <c r="R71" s="14" t="s">
        <v>287</v>
      </c>
      <c r="S71" s="15" t="s">
        <v>385</v>
      </c>
      <c r="T71" s="16">
        <f>ROUND(Q71*'Income Statement'!K25,0)</f>
        <v>12</v>
      </c>
      <c r="U71" s="16">
        <f>ROUND(Q71*'Income Statement'!L25,0)</f>
        <v>13</v>
      </c>
      <c r="V71" s="16">
        <f>ROUND(Q71*'Income Statement'!M25,0)</f>
        <v>13</v>
      </c>
      <c r="W71" s="16">
        <f>ROUND(Q71*'Income Statement'!N25,0)</f>
        <v>14</v>
      </c>
      <c r="X71" s="16">
        <f>ROUND(Q71*'Income Statement'!O25,0)</f>
        <v>15</v>
      </c>
    </row>
    <row r="72" spans="1:24" ht="15" customHeight="1" x14ac:dyDescent="0.2">
      <c r="A72" s="6" t="s">
        <v>386</v>
      </c>
      <c r="B72" s="11">
        <v>39</v>
      </c>
      <c r="C72" s="11">
        <v>15</v>
      </c>
      <c r="D72" s="11">
        <v>0</v>
      </c>
      <c r="E72" s="11">
        <v>0</v>
      </c>
      <c r="F72" s="6"/>
      <c r="G72" s="41">
        <f t="shared" si="9"/>
        <v>39</v>
      </c>
      <c r="H72" s="41">
        <f t="shared" si="10"/>
        <v>15</v>
      </c>
      <c r="I72" s="41">
        <f>D72</f>
        <v>0</v>
      </c>
      <c r="J72" s="41">
        <f>E72</f>
        <v>0</v>
      </c>
      <c r="L72" s="12">
        <f>IFERROR(G72/'Income Statement'!B25,"")</f>
        <v>8.5339168490153176E-4</v>
      </c>
      <c r="M72" s="12">
        <f>IFERROR(H72/'Income Statement'!C25,"")</f>
        <v>3.3945099459141415E-4</v>
      </c>
      <c r="N72" s="12">
        <f>IFERROR(I72/'Income Statement'!D25,"")</f>
        <v>0</v>
      </c>
      <c r="O72" s="12">
        <f>IFERROR(J72/'Income Statement'!E25,"")</f>
        <v>0</v>
      </c>
      <c r="P72" s="12">
        <f>IFERROR(K72/'Income Statement'!F25,"")</f>
        <v>0</v>
      </c>
      <c r="Q72" s="12">
        <f t="shared" si="11"/>
        <v>2.3856853589858916E-4</v>
      </c>
      <c r="R72" s="14">
        <v>71</v>
      </c>
      <c r="S72" s="15" t="s">
        <v>387</v>
      </c>
      <c r="T72" s="16">
        <f>T71</f>
        <v>12</v>
      </c>
      <c r="U72" s="16">
        <f>U71</f>
        <v>13</v>
      </c>
      <c r="V72" s="16">
        <f>V71</f>
        <v>13</v>
      </c>
      <c r="W72" s="16">
        <f>W71</f>
        <v>14</v>
      </c>
      <c r="X72" s="16">
        <f>X71</f>
        <v>15</v>
      </c>
    </row>
    <row r="73" spans="1:24" ht="15" customHeight="1" x14ac:dyDescent="0.2">
      <c r="A73" s="6" t="s">
        <v>388</v>
      </c>
      <c r="B73" s="11">
        <v>842</v>
      </c>
      <c r="C73" s="11">
        <v>734</v>
      </c>
      <c r="D73" s="11">
        <v>674</v>
      </c>
      <c r="E73" s="11">
        <v>620</v>
      </c>
      <c r="F73" s="11">
        <v>638</v>
      </c>
      <c r="G73">
        <f>G74+G75+G76</f>
        <v>211</v>
      </c>
      <c r="H73">
        <f>H74+H75+H76</f>
        <v>93</v>
      </c>
      <c r="I73">
        <f>I74+I75+I76</f>
        <v>50</v>
      </c>
      <c r="J73">
        <f>J74+J75+J76</f>
        <v>39</v>
      </c>
      <c r="K73">
        <f>K74+K75+K76</f>
        <v>25</v>
      </c>
      <c r="L73" s="12">
        <f>IFERROR(G73/'Income Statement'!B25,"")</f>
        <v>4.6170678336980306E-3</v>
      </c>
      <c r="M73" s="12">
        <f>IFERROR(H73/'Income Statement'!C25,"")</f>
        <v>2.1045961664667677E-3</v>
      </c>
      <c r="N73" s="12">
        <f>IFERROR(I73/'Income Statement'!D25,"")</f>
        <v>1.148105625717566E-3</v>
      </c>
      <c r="O73" s="12">
        <f>IFERROR(J73/'Income Statement'!E25,"")</f>
        <v>1.0586893968185026E-3</v>
      </c>
      <c r="P73" s="12">
        <f>IFERROR(K73/'Income Statement'!F25,"")</f>
        <v>7.3657228720426624E-4</v>
      </c>
      <c r="Q73" s="12">
        <f t="shared" si="11"/>
        <v>1.9330062619810268E-3</v>
      </c>
      <c r="R73" s="14" t="s">
        <v>389</v>
      </c>
      <c r="S73" s="15" t="s">
        <v>390</v>
      </c>
      <c r="T73" s="16">
        <f>T74+T75+T76</f>
        <v>97</v>
      </c>
      <c r="U73" s="16">
        <f>U74+U75+U76</f>
        <v>102</v>
      </c>
      <c r="V73" s="16">
        <f>V74+V75+V76</f>
        <v>109</v>
      </c>
      <c r="W73" s="16">
        <f>W74+W75+W76</f>
        <v>115</v>
      </c>
      <c r="X73" s="16">
        <f>X74+X75+X76</f>
        <v>121</v>
      </c>
    </row>
    <row r="74" spans="1:24" ht="15" customHeight="1" x14ac:dyDescent="0.2">
      <c r="A74" s="6" t="s">
        <v>391</v>
      </c>
      <c r="B74" s="11">
        <v>631</v>
      </c>
      <c r="C74" s="11">
        <v>641</v>
      </c>
      <c r="D74" s="11">
        <v>624</v>
      </c>
      <c r="E74" s="11">
        <v>581</v>
      </c>
      <c r="F74" s="11">
        <v>613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12">
        <f>IFERROR(G74/'Income Statement'!B25,"")</f>
        <v>0</v>
      </c>
      <c r="M74" s="12">
        <f>IFERROR(H74/'Income Statement'!C25,"")</f>
        <v>0</v>
      </c>
      <c r="N74" s="12">
        <f>IFERROR(I74/'Income Statement'!D25,"")</f>
        <v>0</v>
      </c>
      <c r="O74" s="12">
        <f>IFERROR(J74/'Income Statement'!E25,"")</f>
        <v>0</v>
      </c>
      <c r="P74" s="12">
        <f>IFERROR(K74/'Income Statement'!F25,"")</f>
        <v>0</v>
      </c>
      <c r="Q74" s="12">
        <f t="shared" si="11"/>
        <v>0</v>
      </c>
      <c r="R74" s="14" t="s">
        <v>392</v>
      </c>
      <c r="S74" s="15" t="s">
        <v>393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</row>
    <row r="75" spans="1:24" ht="15" customHeight="1" x14ac:dyDescent="0.2">
      <c r="A75" s="6" t="s">
        <v>394</v>
      </c>
      <c r="B75" s="11">
        <v>15</v>
      </c>
      <c r="C75" s="6"/>
      <c r="D75" s="6"/>
      <c r="E75" s="6"/>
      <c r="F75" s="6"/>
      <c r="G75" s="41">
        <f>B75</f>
        <v>15</v>
      </c>
      <c r="L75" s="12">
        <f>IFERROR(G75/'Income Statement'!B25,"")</f>
        <v>3.2822757111597374E-4</v>
      </c>
      <c r="M75" s="12">
        <f>IFERROR(H75/'Income Statement'!C25,"")</f>
        <v>0</v>
      </c>
      <c r="N75" s="12">
        <f>IFERROR(I75/'Income Statement'!D25,"")</f>
        <v>0</v>
      </c>
      <c r="O75" s="12">
        <f>IFERROR(J75/'Income Statement'!E25,"")</f>
        <v>0</v>
      </c>
      <c r="P75" s="12">
        <f>IFERROR(K75/'Income Statement'!F25,"")</f>
        <v>0</v>
      </c>
      <c r="Q75" s="12">
        <f t="shared" si="11"/>
        <v>6.5645514223194745E-5</v>
      </c>
      <c r="R75" s="14" t="s">
        <v>287</v>
      </c>
      <c r="S75" s="15" t="s">
        <v>395</v>
      </c>
      <c r="T75" s="16">
        <f>ROUND(Q75*'Income Statement'!K25,0)</f>
        <v>3</v>
      </c>
      <c r="U75" s="16">
        <f>ROUND(Q75*'Income Statement'!L25,0)</f>
        <v>3</v>
      </c>
      <c r="V75" s="16">
        <f>ROUND(Q75*'Income Statement'!M25,0)</f>
        <v>4</v>
      </c>
      <c r="W75" s="16">
        <f>ROUND(Q75*'Income Statement'!N25,0)</f>
        <v>4</v>
      </c>
      <c r="X75" s="16">
        <f>ROUND(Q75*'Income Statement'!O25,0)</f>
        <v>4</v>
      </c>
    </row>
    <row r="76" spans="1:24" ht="15" customHeight="1" x14ac:dyDescent="0.2">
      <c r="A76" s="6" t="s">
        <v>396</v>
      </c>
      <c r="B76" s="11">
        <v>196</v>
      </c>
      <c r="C76" s="11">
        <v>93</v>
      </c>
      <c r="D76" s="11">
        <v>50</v>
      </c>
      <c r="E76" s="11">
        <v>39</v>
      </c>
      <c r="F76" s="11">
        <v>25</v>
      </c>
      <c r="G76" s="41">
        <f>B76</f>
        <v>196</v>
      </c>
      <c r="H76" s="41">
        <f>C76</f>
        <v>93</v>
      </c>
      <c r="I76" s="41">
        <f>D76</f>
        <v>50</v>
      </c>
      <c r="J76" s="41">
        <f>E76</f>
        <v>39</v>
      </c>
      <c r="K76" s="41">
        <f>F76</f>
        <v>25</v>
      </c>
      <c r="L76" s="12">
        <f>IFERROR(G76/'Income Statement'!B25,"")</f>
        <v>4.2888402625820572E-3</v>
      </c>
      <c r="M76" s="12">
        <f>IFERROR(H76/'Income Statement'!C25,"")</f>
        <v>2.1045961664667677E-3</v>
      </c>
      <c r="N76" s="12">
        <f>IFERROR(I76/'Income Statement'!D25,"")</f>
        <v>1.148105625717566E-3</v>
      </c>
      <c r="O76" s="12">
        <f>IFERROR(J76/'Income Statement'!E25,"")</f>
        <v>1.0586893968185026E-3</v>
      </c>
      <c r="P76" s="12">
        <f>IFERROR(K76/'Income Statement'!F25,"")</f>
        <v>7.3657228720426624E-4</v>
      </c>
      <c r="Q76" s="12">
        <f t="shared" si="11"/>
        <v>1.8673607477578322E-3</v>
      </c>
      <c r="R76" s="14" t="s">
        <v>287</v>
      </c>
      <c r="S76" s="15" t="s">
        <v>397</v>
      </c>
      <c r="T76" s="16">
        <f>ROUND(Q76*'Income Statement'!K25,0)</f>
        <v>94</v>
      </c>
      <c r="U76" s="16">
        <f>ROUND(Q76*'Income Statement'!L25,0)</f>
        <v>99</v>
      </c>
      <c r="V76" s="16">
        <f>ROUND(Q76*'Income Statement'!M25,0)</f>
        <v>105</v>
      </c>
      <c r="W76" s="16">
        <f>ROUND(Q76*'Income Statement'!N25,0)</f>
        <v>111</v>
      </c>
      <c r="X76" s="16">
        <f>ROUND(Q76*'Income Statement'!O25,0)</f>
        <v>117</v>
      </c>
    </row>
    <row r="77" spans="1:24" ht="15" customHeight="1" x14ac:dyDescent="0.2">
      <c r="A77" s="6" t="s">
        <v>398</v>
      </c>
      <c r="B77" s="11">
        <v>4957</v>
      </c>
      <c r="C77" s="11">
        <v>5051</v>
      </c>
      <c r="D77" s="11">
        <v>4692</v>
      </c>
      <c r="E77" s="11">
        <v>4684</v>
      </c>
      <c r="F77" s="11">
        <v>3902</v>
      </c>
      <c r="G77">
        <f>G78+G79</f>
        <v>1469</v>
      </c>
      <c r="H77">
        <f>H78+H79</f>
        <v>1463</v>
      </c>
      <c r="I77">
        <f>I78+I79</f>
        <v>1340</v>
      </c>
      <c r="J77">
        <f>J78+J79</f>
        <v>1347</v>
      </c>
      <c r="K77">
        <f>K78+K79</f>
        <v>935</v>
      </c>
      <c r="L77" s="12">
        <f>IFERROR(G77/'Income Statement'!B25,"")</f>
        <v>3.2144420131291027E-2</v>
      </c>
      <c r="M77" s="12">
        <f>IFERROR(H77/'Income Statement'!C25,"")</f>
        <v>3.3107787005815924E-2</v>
      </c>
      <c r="N77" s="12">
        <f>IFERROR(I77/'Income Statement'!D25,"")</f>
        <v>3.0769230769230771E-2</v>
      </c>
      <c r="O77" s="12">
        <f>IFERROR(J77/'Income Statement'!E25,"")</f>
        <v>3.6565503013192897E-2</v>
      </c>
      <c r="P77" s="12">
        <f>IFERROR(K77/'Income Statement'!F25,"")</f>
        <v>2.7547803541439556E-2</v>
      </c>
      <c r="Q77" s="12">
        <f t="shared" si="11"/>
        <v>3.2026948892194027E-2</v>
      </c>
      <c r="R77" s="14" t="s">
        <v>399</v>
      </c>
      <c r="S77" s="15" t="s">
        <v>400</v>
      </c>
      <c r="T77" s="16">
        <f>T78+T79</f>
        <v>1605</v>
      </c>
      <c r="U77" s="16">
        <f>U78+U79</f>
        <v>1704</v>
      </c>
      <c r="V77" s="16">
        <f>V78+V79</f>
        <v>1802</v>
      </c>
      <c r="W77" s="16">
        <f>W78+W79</f>
        <v>1901</v>
      </c>
      <c r="X77" s="16">
        <f>X78+X79</f>
        <v>2000</v>
      </c>
    </row>
    <row r="78" spans="1:24" ht="15" customHeight="1" x14ac:dyDescent="0.2">
      <c r="A78" s="6" t="s">
        <v>401</v>
      </c>
      <c r="B78" s="11">
        <v>3488</v>
      </c>
      <c r="C78" s="11">
        <v>3588</v>
      </c>
      <c r="D78" s="11">
        <v>3352</v>
      </c>
      <c r="E78" s="11">
        <v>3337</v>
      </c>
      <c r="F78" s="11">
        <v>2967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12">
        <f>IFERROR(G78/'Income Statement'!B25,"")</f>
        <v>0</v>
      </c>
      <c r="M78" s="12">
        <f>IFERROR(H78/'Income Statement'!C25,"")</f>
        <v>0</v>
      </c>
      <c r="N78" s="12">
        <f>IFERROR(I78/'Income Statement'!D25,"")</f>
        <v>0</v>
      </c>
      <c r="O78" s="12">
        <f>IFERROR(J78/'Income Statement'!E25,"")</f>
        <v>0</v>
      </c>
      <c r="P78" s="12">
        <f>IFERROR(K78/'Income Statement'!F25,"")</f>
        <v>0</v>
      </c>
      <c r="Q78" s="12">
        <f t="shared" si="11"/>
        <v>0</v>
      </c>
      <c r="R78" s="14" t="s">
        <v>402</v>
      </c>
      <c r="S78" s="15" t="s">
        <v>393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</row>
    <row r="79" spans="1:24" ht="15" customHeight="1" x14ac:dyDescent="0.2">
      <c r="A79" s="6" t="s">
        <v>403</v>
      </c>
      <c r="B79" s="11">
        <v>1469</v>
      </c>
      <c r="C79" s="11">
        <v>1463</v>
      </c>
      <c r="D79" s="11">
        <v>1340</v>
      </c>
      <c r="E79" s="11">
        <v>1347</v>
      </c>
      <c r="F79" s="11">
        <v>935</v>
      </c>
      <c r="G79" s="41">
        <f t="shared" ref="G79:K82" si="12">B79</f>
        <v>1469</v>
      </c>
      <c r="H79" s="41">
        <f t="shared" si="12"/>
        <v>1463</v>
      </c>
      <c r="I79" s="41">
        <f t="shared" si="12"/>
        <v>1340</v>
      </c>
      <c r="J79" s="41">
        <f t="shared" si="12"/>
        <v>1347</v>
      </c>
      <c r="K79" s="41">
        <f t="shared" si="12"/>
        <v>935</v>
      </c>
      <c r="L79" s="12">
        <f>IFERROR(G79/'Income Statement'!B25,"")</f>
        <v>3.2144420131291027E-2</v>
      </c>
      <c r="M79" s="12">
        <f>IFERROR(H79/'Income Statement'!C25,"")</f>
        <v>3.3107787005815924E-2</v>
      </c>
      <c r="N79" s="12">
        <f>IFERROR(I79/'Income Statement'!D25,"")</f>
        <v>3.0769230769230771E-2</v>
      </c>
      <c r="O79" s="12">
        <f>IFERROR(J79/'Income Statement'!E25,"")</f>
        <v>3.6565503013192897E-2</v>
      </c>
      <c r="P79" s="12">
        <f>IFERROR(K79/'Income Statement'!F25,"")</f>
        <v>2.7547803541439556E-2</v>
      </c>
      <c r="Q79" s="12">
        <f t="shared" si="11"/>
        <v>3.2026948892194027E-2</v>
      </c>
      <c r="R79" s="14" t="s">
        <v>287</v>
      </c>
      <c r="S79" s="15" t="s">
        <v>404</v>
      </c>
      <c r="T79" s="16">
        <f>ROUND(Q79*'Income Statement'!K25,0)</f>
        <v>1605</v>
      </c>
      <c r="U79" s="16">
        <f>ROUND(Q79*'Income Statement'!L25,0)</f>
        <v>1704</v>
      </c>
      <c r="V79" s="16">
        <f>ROUND(Q79*'Income Statement'!M25,0)</f>
        <v>1802</v>
      </c>
      <c r="W79" s="16">
        <f>ROUND(Q79*'Income Statement'!N25,0)</f>
        <v>1901</v>
      </c>
      <c r="X79" s="16">
        <f>ROUND(Q79*'Income Statement'!O25,0)</f>
        <v>2000</v>
      </c>
    </row>
    <row r="80" spans="1:24" ht="15" customHeight="1" x14ac:dyDescent="0.2">
      <c r="A80" s="6" t="s">
        <v>405</v>
      </c>
      <c r="B80" s="11">
        <v>532</v>
      </c>
      <c r="C80" s="11">
        <v>499</v>
      </c>
      <c r="D80" s="11">
        <v>441</v>
      </c>
      <c r="E80" s="11">
        <v>439</v>
      </c>
      <c r="F80" s="11">
        <v>289</v>
      </c>
      <c r="G80" s="41">
        <f t="shared" si="12"/>
        <v>532</v>
      </c>
      <c r="H80" s="41">
        <f t="shared" si="12"/>
        <v>499</v>
      </c>
      <c r="I80" s="41">
        <f t="shared" si="12"/>
        <v>441</v>
      </c>
      <c r="J80" s="41">
        <f t="shared" si="12"/>
        <v>439</v>
      </c>
      <c r="K80" s="41">
        <f t="shared" si="12"/>
        <v>289</v>
      </c>
      <c r="L80" s="12">
        <f>IFERROR(G80/'Income Statement'!B25,"")</f>
        <v>1.1641137855579868E-2</v>
      </c>
      <c r="M80" s="12">
        <f>IFERROR(H80/'Income Statement'!C25,"")</f>
        <v>1.1292403086741044E-2</v>
      </c>
      <c r="N80" s="12">
        <f>IFERROR(I80/'Income Statement'!D25,"")</f>
        <v>1.0126291618828932E-2</v>
      </c>
      <c r="O80" s="12">
        <f>IFERROR(J80/'Income Statement'!E25,"")</f>
        <v>1.191704218470058E-2</v>
      </c>
      <c r="P80" s="12">
        <f>IFERROR(K80/'Income Statement'!F25,"")</f>
        <v>8.5147756400813183E-3</v>
      </c>
      <c r="Q80" s="12">
        <f t="shared" si="11"/>
        <v>1.0698330077186348E-2</v>
      </c>
      <c r="R80" s="14" t="s">
        <v>287</v>
      </c>
      <c r="S80" s="15" t="s">
        <v>406</v>
      </c>
      <c r="T80" s="16">
        <f>ROUND(Q80*'Income Statement'!K25,0)</f>
        <v>536</v>
      </c>
      <c r="U80" s="16">
        <f>ROUND(Q80*'Income Statement'!L25,0)</f>
        <v>569</v>
      </c>
      <c r="V80" s="16">
        <f>ROUND(Q80*'Income Statement'!M25,0)</f>
        <v>602</v>
      </c>
      <c r="W80" s="16">
        <f>ROUND(Q80*'Income Statement'!N25,0)</f>
        <v>635</v>
      </c>
      <c r="X80" s="16">
        <f>ROUND(Q80*'Income Statement'!O25,0)</f>
        <v>668</v>
      </c>
    </row>
    <row r="81" spans="1:24" ht="15" customHeight="1" x14ac:dyDescent="0.2">
      <c r="A81" s="6" t="s">
        <v>407</v>
      </c>
      <c r="B81" s="11">
        <v>839</v>
      </c>
      <c r="C81" s="11">
        <v>839</v>
      </c>
      <c r="D81" s="11">
        <v>824</v>
      </c>
      <c r="E81" s="11">
        <v>824</v>
      </c>
      <c r="F81" s="11">
        <v>617</v>
      </c>
      <c r="G81" s="41">
        <f t="shared" si="12"/>
        <v>839</v>
      </c>
      <c r="H81" s="41">
        <f t="shared" si="12"/>
        <v>839</v>
      </c>
      <c r="I81" s="41">
        <f t="shared" si="12"/>
        <v>824</v>
      </c>
      <c r="J81" s="41">
        <f t="shared" si="12"/>
        <v>824</v>
      </c>
      <c r="K81" s="41">
        <f t="shared" si="12"/>
        <v>617</v>
      </c>
      <c r="L81" s="12">
        <f>IFERROR(G81/'Income Statement'!B25,"")</f>
        <v>1.8358862144420132E-2</v>
      </c>
      <c r="M81" s="12">
        <f>IFERROR(H81/'Income Statement'!C25,"")</f>
        <v>1.89866256308131E-2</v>
      </c>
      <c r="N81" s="12">
        <f>IFERROR(I81/'Income Statement'!D25,"")</f>
        <v>1.8920780711825489E-2</v>
      </c>
      <c r="O81" s="12">
        <f>IFERROR(J81/'Income Statement'!E25,"")</f>
        <v>2.2368206743037081E-2</v>
      </c>
      <c r="P81" s="12">
        <f>IFERROR(K81/'Income Statement'!F25,"")</f>
        <v>1.8178604048201291E-2</v>
      </c>
      <c r="Q81" s="12">
        <f t="shared" si="11"/>
        <v>1.9362615855659418E-2</v>
      </c>
      <c r="R81" s="14" t="s">
        <v>287</v>
      </c>
      <c r="S81" s="15" t="s">
        <v>408</v>
      </c>
      <c r="T81" s="16">
        <f>ROUND(Q81*'Income Statement'!K25,0)</f>
        <v>970</v>
      </c>
      <c r="U81" s="16">
        <f>ROUND(Q81*'Income Statement'!L25,0)</f>
        <v>1030</v>
      </c>
      <c r="V81" s="16">
        <f>ROUND(Q81*'Income Statement'!M25,0)</f>
        <v>1090</v>
      </c>
      <c r="W81" s="16">
        <f>ROUND(Q81*'Income Statement'!N25,0)</f>
        <v>1149</v>
      </c>
      <c r="X81" s="16">
        <f>ROUND(Q81*'Income Statement'!O25,0)</f>
        <v>1209</v>
      </c>
    </row>
    <row r="82" spans="1:24" ht="15" customHeight="1" x14ac:dyDescent="0.2">
      <c r="A82" s="6" t="s">
        <v>409</v>
      </c>
      <c r="B82" s="11">
        <v>98</v>
      </c>
      <c r="C82" s="11">
        <v>125</v>
      </c>
      <c r="D82" s="11">
        <v>76</v>
      </c>
      <c r="E82" s="11">
        <v>84</v>
      </c>
      <c r="F82" s="11">
        <v>29</v>
      </c>
      <c r="G82" s="41">
        <f t="shared" si="12"/>
        <v>98</v>
      </c>
      <c r="H82" s="41">
        <f t="shared" si="12"/>
        <v>125</v>
      </c>
      <c r="I82" s="41">
        <f t="shared" si="12"/>
        <v>76</v>
      </c>
      <c r="J82" s="41">
        <f t="shared" si="12"/>
        <v>84</v>
      </c>
      <c r="K82" s="41">
        <f t="shared" si="12"/>
        <v>29</v>
      </c>
      <c r="L82" s="12">
        <f>IFERROR(G82/'Income Statement'!B25,"")</f>
        <v>2.1444201312910286E-3</v>
      </c>
      <c r="M82" s="12">
        <f>IFERROR(H82/'Income Statement'!C25,"")</f>
        <v>2.8287582882617845E-3</v>
      </c>
      <c r="N82" s="12">
        <f>IFERROR(I82/'Income Statement'!D25,"")</f>
        <v>1.7451205510907004E-3</v>
      </c>
      <c r="O82" s="12">
        <f>IFERROR(J82/'Income Statement'!E25,"")</f>
        <v>2.2802540854552364E-3</v>
      </c>
      <c r="P82" s="12">
        <f>IFERROR(K82/'Income Statement'!F25,"")</f>
        <v>8.5442385315694883E-4</v>
      </c>
      <c r="Q82" s="12">
        <f t="shared" si="11"/>
        <v>1.97059538185114E-3</v>
      </c>
      <c r="R82" s="14" t="s">
        <v>287</v>
      </c>
      <c r="S82" s="15" t="s">
        <v>410</v>
      </c>
      <c r="T82" s="16">
        <f>ROUND(Q82*'Income Statement'!K25,0)</f>
        <v>99</v>
      </c>
      <c r="U82" s="16">
        <f>ROUND(Q82*'Income Statement'!L25,0)</f>
        <v>105</v>
      </c>
      <c r="V82" s="16">
        <f>ROUND(Q82*'Income Statement'!M25,0)</f>
        <v>111</v>
      </c>
      <c r="W82" s="16">
        <f>ROUND(Q82*'Income Statement'!N25,0)</f>
        <v>117</v>
      </c>
      <c r="X82" s="16">
        <f>ROUND(Q82*'Income Statement'!O25,0)</f>
        <v>123</v>
      </c>
    </row>
    <row r="83" spans="1:24" ht="15" customHeight="1" x14ac:dyDescent="0.2">
      <c r="A83" s="6" t="s">
        <v>411</v>
      </c>
      <c r="B83" s="6"/>
      <c r="C83" s="6"/>
      <c r="D83" s="11">
        <v>-1</v>
      </c>
      <c r="E83" s="6"/>
      <c r="F83" s="6"/>
      <c r="I83" s="41">
        <f t="shared" ref="I83:I96" si="13">D83</f>
        <v>-1</v>
      </c>
      <c r="L83" s="12">
        <f>IFERROR(G83/'Income Statement'!B25,"")</f>
        <v>0</v>
      </c>
      <c r="M83" s="12">
        <f>IFERROR(H83/'Income Statement'!C25,"")</f>
        <v>0</v>
      </c>
      <c r="N83" s="12">
        <f>IFERROR(I83/'Income Statement'!D25,"")</f>
        <v>-2.2962112514351319E-5</v>
      </c>
      <c r="O83" s="12">
        <f>IFERROR(J83/'Income Statement'!E25,"")</f>
        <v>0</v>
      </c>
      <c r="P83" s="12">
        <f>IFERROR(K83/'Income Statement'!F25,"")</f>
        <v>0</v>
      </c>
      <c r="Q83" s="12">
        <f t="shared" si="11"/>
        <v>-4.5924225028702636E-6</v>
      </c>
      <c r="R83" s="14" t="s">
        <v>412</v>
      </c>
      <c r="S83" s="15"/>
    </row>
    <row r="84" spans="1:24" ht="15" customHeight="1" x14ac:dyDescent="0.2">
      <c r="A84" s="6" t="s">
        <v>413</v>
      </c>
      <c r="B84" s="11">
        <v>6581</v>
      </c>
      <c r="C84" s="11">
        <v>6796</v>
      </c>
      <c r="D84" s="11">
        <v>6311</v>
      </c>
      <c r="E84" s="11">
        <v>6179</v>
      </c>
      <c r="F84" s="11">
        <v>5011</v>
      </c>
      <c r="G84" s="41">
        <f t="shared" ref="G84:H89" si="14">B84</f>
        <v>6581</v>
      </c>
      <c r="H84" s="41">
        <f t="shared" si="14"/>
        <v>6796</v>
      </c>
      <c r="I84" s="41">
        <f t="shared" si="13"/>
        <v>6311</v>
      </c>
      <c r="J84" s="41">
        <f t="shared" ref="J84:K89" si="15">E84</f>
        <v>6179</v>
      </c>
      <c r="K84" s="41">
        <f t="shared" si="15"/>
        <v>5011</v>
      </c>
      <c r="L84" s="12">
        <f>IFERROR(G84/'Income Statement'!B25,"")</f>
        <v>0.14400437636761487</v>
      </c>
      <c r="M84" s="12">
        <f>IFERROR(H84/'Income Statement'!C25,"")</f>
        <v>0.15379393061621671</v>
      </c>
      <c r="N84" s="12">
        <f>IFERROR(I84/'Income Statement'!D25,"")</f>
        <v>0.14491389207807118</v>
      </c>
      <c r="O84" s="12">
        <f>IFERROR(J84/'Income Statement'!E25,"")</f>
        <v>0.16773440469080841</v>
      </c>
      <c r="P84" s="12">
        <f>IFERROR(K84/'Income Statement'!F25,"")</f>
        <v>0.14763854924722311</v>
      </c>
      <c r="Q84" s="12">
        <f t="shared" si="11"/>
        <v>0.15161703059998685</v>
      </c>
      <c r="R84" s="14" t="s">
        <v>287</v>
      </c>
      <c r="S84" s="15" t="s">
        <v>414</v>
      </c>
      <c r="T84" s="16">
        <f>ROUND(Q84*'Income Statement'!K25,0)</f>
        <v>7597</v>
      </c>
      <c r="U84" s="16">
        <f>ROUND(Q84*'Income Statement'!L25,0)</f>
        <v>8065</v>
      </c>
      <c r="V84" s="16">
        <f>ROUND(Q84*'Income Statement'!M25,0)</f>
        <v>8533</v>
      </c>
      <c r="W84" s="16">
        <f>ROUND(Q84*'Income Statement'!N25,0)</f>
        <v>9001</v>
      </c>
      <c r="X84" s="16">
        <f>ROUND(Q84*'Income Statement'!O25,0)</f>
        <v>9469</v>
      </c>
    </row>
    <row r="85" spans="1:24" ht="15" customHeight="1" x14ac:dyDescent="0.2">
      <c r="A85" s="6" t="s">
        <v>415</v>
      </c>
      <c r="B85" s="11">
        <v>3790</v>
      </c>
      <c r="C85" s="11">
        <v>4082</v>
      </c>
      <c r="D85" s="11">
        <v>3846</v>
      </c>
      <c r="E85" s="11">
        <v>3831</v>
      </c>
      <c r="F85" s="11">
        <v>3461</v>
      </c>
      <c r="G85" s="41">
        <f t="shared" si="14"/>
        <v>3790</v>
      </c>
      <c r="H85" s="41">
        <f t="shared" si="14"/>
        <v>4082</v>
      </c>
      <c r="I85" s="41">
        <f t="shared" si="13"/>
        <v>3846</v>
      </c>
      <c r="J85" s="41">
        <f t="shared" si="15"/>
        <v>3831</v>
      </c>
      <c r="K85" s="41">
        <f t="shared" si="15"/>
        <v>3461</v>
      </c>
      <c r="L85" s="12">
        <f>IFERROR(G85/'Income Statement'!B25,"")</f>
        <v>8.2932166301969368E-2</v>
      </c>
      <c r="M85" s="12">
        <f>IFERROR(H85/'Income Statement'!C25,"")</f>
        <v>9.2375930661476841E-2</v>
      </c>
      <c r="N85" s="12">
        <f>IFERROR(I85/'Income Statement'!D25,"")</f>
        <v>8.8312284730195173E-2</v>
      </c>
      <c r="O85" s="12">
        <f>IFERROR(J85/'Income Statement'!E25,"")</f>
        <v>0.10399587382594061</v>
      </c>
      <c r="P85" s="12">
        <f>IFERROR(K85/'Income Statement'!F25,"")</f>
        <v>0.10197106744055862</v>
      </c>
      <c r="Q85" s="12">
        <f t="shared" si="11"/>
        <v>9.3917464592028127E-2</v>
      </c>
      <c r="R85" s="14" t="s">
        <v>287</v>
      </c>
      <c r="S85" s="15" t="s">
        <v>416</v>
      </c>
      <c r="T85" s="16">
        <f>ROUND(Q85*'Income Statement'!K25,0)</f>
        <v>4706</v>
      </c>
      <c r="U85" s="16">
        <f>ROUND(Q85*'Income Statement'!L25,0)</f>
        <v>4996</v>
      </c>
      <c r="V85" s="16">
        <f>ROUND(Q85*'Income Statement'!M25,0)</f>
        <v>5285</v>
      </c>
      <c r="W85" s="16">
        <f>ROUND(Q85*'Income Statement'!N25,0)</f>
        <v>5575</v>
      </c>
      <c r="X85" s="16">
        <f>ROUND(Q85*'Income Statement'!O25,0)</f>
        <v>5865</v>
      </c>
    </row>
    <row r="86" spans="1:24" ht="15" customHeight="1" x14ac:dyDescent="0.2">
      <c r="A86" s="6" t="s">
        <v>417</v>
      </c>
      <c r="B86" s="11">
        <v>2791</v>
      </c>
      <c r="C86" s="11">
        <v>2714</v>
      </c>
      <c r="D86" s="11">
        <v>2465</v>
      </c>
      <c r="E86" s="11">
        <v>2348</v>
      </c>
      <c r="F86" s="11">
        <v>1550</v>
      </c>
      <c r="G86" s="41">
        <f t="shared" si="14"/>
        <v>2791</v>
      </c>
      <c r="H86" s="41">
        <f t="shared" si="14"/>
        <v>2714</v>
      </c>
      <c r="I86" s="41">
        <f t="shared" si="13"/>
        <v>2465</v>
      </c>
      <c r="J86" s="41">
        <f t="shared" si="15"/>
        <v>2348</v>
      </c>
      <c r="K86" s="41">
        <f t="shared" si="15"/>
        <v>1550</v>
      </c>
      <c r="L86" s="12">
        <f>IFERROR(G86/'Income Statement'!B25,"")</f>
        <v>6.1072210065645512E-2</v>
      </c>
      <c r="M86" s="12">
        <f>IFERROR(H86/'Income Statement'!C25,"")</f>
        <v>6.1417999954739864E-2</v>
      </c>
      <c r="N86" s="12">
        <f>IFERROR(I86/'Income Statement'!D25,"")</f>
        <v>5.6601607347876004E-2</v>
      </c>
      <c r="O86" s="12">
        <f>IFERROR(J86/'Income Statement'!E25,"")</f>
        <v>6.3738530864867804E-2</v>
      </c>
      <c r="P86" s="12">
        <f>IFERROR(K86/'Income Statement'!F25,"")</f>
        <v>4.5667481806664509E-2</v>
      </c>
      <c r="Q86" s="12">
        <f t="shared" si="11"/>
        <v>5.7699566007958739E-2</v>
      </c>
      <c r="R86" s="14" t="s">
        <v>287</v>
      </c>
      <c r="S86" s="15" t="s">
        <v>418</v>
      </c>
      <c r="T86" s="16">
        <f>ROUND(Q86*'Income Statement'!K25,0)</f>
        <v>2891</v>
      </c>
      <c r="U86" s="16">
        <f>ROUND(Q86*'Income Statement'!L25,0)</f>
        <v>3069</v>
      </c>
      <c r="V86" s="16">
        <f>ROUND(Q86*'Income Statement'!M25,0)</f>
        <v>3247</v>
      </c>
      <c r="W86" s="16">
        <f>ROUND(Q86*'Income Statement'!N25,0)</f>
        <v>3425</v>
      </c>
      <c r="X86" s="16">
        <f>ROUND(Q86*'Income Statement'!O25,0)</f>
        <v>3603</v>
      </c>
    </row>
    <row r="87" spans="1:24" ht="15" customHeight="1" x14ac:dyDescent="0.2">
      <c r="A87" s="6" t="s">
        <v>419</v>
      </c>
      <c r="B87" s="11">
        <v>1310</v>
      </c>
      <c r="C87" s="11">
        <v>1185</v>
      </c>
      <c r="D87" s="11">
        <v>1013</v>
      </c>
      <c r="E87" s="11">
        <v>896</v>
      </c>
      <c r="F87" s="11">
        <v>609</v>
      </c>
      <c r="G87" s="41">
        <f t="shared" si="14"/>
        <v>1310</v>
      </c>
      <c r="H87" s="41">
        <f t="shared" si="14"/>
        <v>1185</v>
      </c>
      <c r="I87" s="41">
        <f t="shared" si="13"/>
        <v>1013</v>
      </c>
      <c r="J87" s="41">
        <f t="shared" si="15"/>
        <v>896</v>
      </c>
      <c r="K87" s="41">
        <f t="shared" si="15"/>
        <v>609</v>
      </c>
      <c r="L87" s="12">
        <f>IFERROR(G87/'Income Statement'!B25,"")</f>
        <v>2.8665207877461706E-2</v>
      </c>
      <c r="M87" s="12">
        <f>IFERROR(H87/'Income Statement'!C25,"")</f>
        <v>2.6816628572721719E-2</v>
      </c>
      <c r="N87" s="12">
        <f>IFERROR(I87/'Income Statement'!D25,"")</f>
        <v>2.3260619977037888E-2</v>
      </c>
      <c r="O87" s="12">
        <f>IFERROR(J87/'Income Statement'!E25,"")</f>
        <v>2.4322710244855855E-2</v>
      </c>
      <c r="P87" s="12">
        <f>IFERROR(K87/'Income Statement'!F25,"")</f>
        <v>1.7942900916295926E-2</v>
      </c>
      <c r="Q87" s="12">
        <f t="shared" si="11"/>
        <v>2.4201613517674619E-2</v>
      </c>
      <c r="R87" s="14" t="s">
        <v>287</v>
      </c>
      <c r="S87" s="15" t="s">
        <v>420</v>
      </c>
      <c r="T87" s="16">
        <f>ROUND(Q87*'Income Statement'!K25,0)</f>
        <v>1213</v>
      </c>
      <c r="U87" s="16">
        <f>ROUND(Q87*'Income Statement'!L25,0)</f>
        <v>1287</v>
      </c>
      <c r="V87" s="16">
        <f>ROUND(Q87*'Income Statement'!M25,0)</f>
        <v>1362</v>
      </c>
      <c r="W87" s="16">
        <f>ROUND(Q87*'Income Statement'!N25,0)</f>
        <v>1437</v>
      </c>
      <c r="X87" s="16">
        <f>ROUND(Q87*'Income Statement'!O25,0)</f>
        <v>1511</v>
      </c>
    </row>
    <row r="88" spans="1:24" ht="15" customHeight="1" x14ac:dyDescent="0.2">
      <c r="A88" s="6" t="s">
        <v>421</v>
      </c>
      <c r="B88" s="11">
        <v>1355</v>
      </c>
      <c r="C88" s="11">
        <v>1355</v>
      </c>
      <c r="D88" s="11">
        <v>1322</v>
      </c>
      <c r="E88" s="11">
        <v>1321</v>
      </c>
      <c r="F88" s="11">
        <v>875</v>
      </c>
      <c r="G88" s="41">
        <f t="shared" si="14"/>
        <v>1355</v>
      </c>
      <c r="H88" s="41">
        <f t="shared" si="14"/>
        <v>1355</v>
      </c>
      <c r="I88" s="41">
        <f t="shared" si="13"/>
        <v>1322</v>
      </c>
      <c r="J88" s="41">
        <f t="shared" si="15"/>
        <v>1321</v>
      </c>
      <c r="K88" s="41">
        <f t="shared" si="15"/>
        <v>875</v>
      </c>
      <c r="L88" s="12">
        <f>IFERROR(G88/'Income Statement'!B25,"")</f>
        <v>2.9649890590809629E-2</v>
      </c>
      <c r="M88" s="12">
        <f>IFERROR(H88/'Income Statement'!C25,"")</f>
        <v>3.0663739844757745E-2</v>
      </c>
      <c r="N88" s="12">
        <f>IFERROR(I88/'Income Statement'!D25,"")</f>
        <v>3.0355912743972445E-2</v>
      </c>
      <c r="O88" s="12">
        <f>IFERROR(J88/'Income Statement'!E25,"")</f>
        <v>3.5859710081980564E-2</v>
      </c>
      <c r="P88" s="12">
        <f>IFERROR(K88/'Income Statement'!F25,"")</f>
        <v>2.5780030052149319E-2</v>
      </c>
      <c r="Q88" s="12">
        <f t="shared" si="11"/>
        <v>3.046185666273394E-2</v>
      </c>
      <c r="R88" s="14" t="s">
        <v>287</v>
      </c>
      <c r="S88" s="15" t="s">
        <v>422</v>
      </c>
      <c r="T88" s="16">
        <f>ROUND(Q88*'Income Statement'!K25,0)</f>
        <v>1526</v>
      </c>
      <c r="U88" s="16">
        <f>ROUND(Q88*'Income Statement'!L25,0)</f>
        <v>1620</v>
      </c>
      <c r="V88" s="16">
        <f>ROUND(Q88*'Income Statement'!M25,0)</f>
        <v>1714</v>
      </c>
      <c r="W88" s="16">
        <f>ROUND(Q88*'Income Statement'!N25,0)</f>
        <v>1808</v>
      </c>
      <c r="X88" s="16">
        <f>ROUND(Q88*'Income Statement'!O25,0)</f>
        <v>1902</v>
      </c>
    </row>
    <row r="89" spans="1:24" ht="15" customHeight="1" x14ac:dyDescent="0.2">
      <c r="A89" s="6" t="s">
        <v>423</v>
      </c>
      <c r="B89" s="11">
        <v>126</v>
      </c>
      <c r="C89" s="11">
        <v>174</v>
      </c>
      <c r="D89" s="11">
        <v>131</v>
      </c>
      <c r="E89" s="11">
        <v>131</v>
      </c>
      <c r="F89" s="11">
        <v>66</v>
      </c>
      <c r="G89" s="41">
        <f t="shared" si="14"/>
        <v>126</v>
      </c>
      <c r="H89" s="41">
        <f t="shared" si="14"/>
        <v>174</v>
      </c>
      <c r="I89" s="41">
        <f t="shared" si="13"/>
        <v>131</v>
      </c>
      <c r="J89" s="41">
        <f t="shared" si="15"/>
        <v>131</v>
      </c>
      <c r="K89" s="41">
        <f t="shared" si="15"/>
        <v>66</v>
      </c>
      <c r="L89" s="12">
        <f>IFERROR(G89/'Income Statement'!B25,"")</f>
        <v>2.7571115973741792E-3</v>
      </c>
      <c r="M89" s="12">
        <f>IFERROR(H89/'Income Statement'!C25,"")</f>
        <v>3.9376315372604042E-3</v>
      </c>
      <c r="N89" s="12">
        <f>IFERROR(I89/'Income Statement'!D25,"")</f>
        <v>3.0080367393800229E-3</v>
      </c>
      <c r="O89" s="12">
        <f>IFERROR(J89/'Income Statement'!E25,"")</f>
        <v>3.5561105380313806E-3</v>
      </c>
      <c r="P89" s="12">
        <f>IFERROR(K89/'Income Statement'!F25,"")</f>
        <v>1.9445508382192628E-3</v>
      </c>
      <c r="Q89" s="12">
        <f t="shared" si="11"/>
        <v>3.04068825005305E-3</v>
      </c>
      <c r="R89" s="14" t="s">
        <v>287</v>
      </c>
      <c r="S89" s="15" t="s">
        <v>424</v>
      </c>
      <c r="T89" s="16">
        <f>ROUND(Q89*'Income Statement'!K25,0)</f>
        <v>152</v>
      </c>
      <c r="U89" s="16">
        <f>ROUND(Q89*'Income Statement'!L25,0)</f>
        <v>162</v>
      </c>
      <c r="V89" s="16">
        <f>ROUND(Q89*'Income Statement'!M25,0)</f>
        <v>171</v>
      </c>
      <c r="W89" s="16">
        <f>ROUND(Q89*'Income Statement'!N25,0)</f>
        <v>181</v>
      </c>
      <c r="X89" s="16">
        <f>ROUND(Q89*'Income Statement'!O25,0)</f>
        <v>190</v>
      </c>
    </row>
    <row r="90" spans="1:24" ht="15" customHeight="1" x14ac:dyDescent="0.2">
      <c r="A90" s="6" t="s">
        <v>425</v>
      </c>
      <c r="B90" s="6"/>
      <c r="C90" s="6"/>
      <c r="D90" s="11">
        <v>-1</v>
      </c>
      <c r="E90" s="6"/>
      <c r="F90" s="6"/>
      <c r="I90" s="41">
        <f t="shared" si="13"/>
        <v>-1</v>
      </c>
      <c r="L90" s="12">
        <f>IFERROR(G90/'Income Statement'!B25,"")</f>
        <v>0</v>
      </c>
      <c r="M90" s="12">
        <f>IFERROR(H90/'Income Statement'!C25,"")</f>
        <v>0</v>
      </c>
      <c r="N90" s="12">
        <f>IFERROR(I90/'Income Statement'!D25,"")</f>
        <v>-2.2962112514351319E-5</v>
      </c>
      <c r="O90" s="12">
        <f>IFERROR(J90/'Income Statement'!E25,"")</f>
        <v>0</v>
      </c>
      <c r="P90" s="12">
        <f>IFERROR(K90/'Income Statement'!F25,"")</f>
        <v>0</v>
      </c>
      <c r="Q90" s="12">
        <f t="shared" si="11"/>
        <v>-4.5924225028702636E-6</v>
      </c>
      <c r="R90" s="14" t="s">
        <v>426</v>
      </c>
      <c r="S90" s="15"/>
    </row>
    <row r="91" spans="1:24" ht="15" customHeight="1" x14ac:dyDescent="0.2">
      <c r="A91" s="6" t="s">
        <v>427</v>
      </c>
      <c r="B91" s="11">
        <v>1624</v>
      </c>
      <c r="C91" s="11">
        <v>1745</v>
      </c>
      <c r="D91" s="11">
        <v>1619</v>
      </c>
      <c r="E91" s="11">
        <v>1495</v>
      </c>
      <c r="F91" s="11">
        <v>1109</v>
      </c>
      <c r="G91" s="41">
        <f t="shared" ref="G91:H96" si="16">B91</f>
        <v>1624</v>
      </c>
      <c r="H91" s="41">
        <f t="shared" si="16"/>
        <v>1745</v>
      </c>
      <c r="I91" s="41">
        <f t="shared" si="13"/>
        <v>1619</v>
      </c>
      <c r="J91" s="41">
        <f t="shared" ref="J91:K96" si="17">E91</f>
        <v>1495</v>
      </c>
      <c r="K91" s="41">
        <f t="shared" si="17"/>
        <v>1109</v>
      </c>
      <c r="L91" s="12">
        <f>IFERROR(G91/'Income Statement'!B25,"")</f>
        <v>3.5536105032822757E-2</v>
      </c>
      <c r="M91" s="12">
        <f>IFERROR(H91/'Income Statement'!C25,"")</f>
        <v>3.9489465704134516E-2</v>
      </c>
      <c r="N91" s="12">
        <f>IFERROR(I91/'Income Statement'!D25,"")</f>
        <v>3.7175660160734786E-2</v>
      </c>
      <c r="O91" s="12">
        <f>IFERROR(J91/'Income Statement'!E25,"")</f>
        <v>4.0583093544709264E-2</v>
      </c>
      <c r="P91" s="12">
        <f>IFERROR(K91/'Income Statement'!F25,"")</f>
        <v>3.267434666038125E-2</v>
      </c>
      <c r="Q91" s="12">
        <f t="shared" si="11"/>
        <v>3.7091734220556512E-2</v>
      </c>
      <c r="R91" s="14" t="s">
        <v>287</v>
      </c>
      <c r="S91" s="15" t="s">
        <v>428</v>
      </c>
      <c r="T91" s="16">
        <f>ROUND(Q91*'Income Statement'!K25,0)</f>
        <v>1858</v>
      </c>
      <c r="U91" s="16">
        <f>ROUND(Q91*'Income Statement'!L25,0)</f>
        <v>1973</v>
      </c>
      <c r="V91" s="16">
        <f>ROUND(Q91*'Income Statement'!M25,0)</f>
        <v>2087</v>
      </c>
      <c r="W91" s="16">
        <f>ROUND(Q91*'Income Statement'!N25,0)</f>
        <v>2202</v>
      </c>
      <c r="X91" s="16">
        <f>ROUND(Q91*'Income Statement'!O25,0)</f>
        <v>2316</v>
      </c>
    </row>
    <row r="92" spans="1:24" ht="15" customHeight="1" x14ac:dyDescent="0.2">
      <c r="A92" s="6" t="s">
        <v>429</v>
      </c>
      <c r="B92" s="11">
        <v>302</v>
      </c>
      <c r="C92" s="11">
        <v>494</v>
      </c>
      <c r="D92" s="11">
        <v>494</v>
      </c>
      <c r="E92" s="11">
        <v>494</v>
      </c>
      <c r="F92" s="11">
        <v>494</v>
      </c>
      <c r="G92" s="41">
        <f t="shared" si="16"/>
        <v>302</v>
      </c>
      <c r="H92" s="41">
        <f t="shared" si="16"/>
        <v>494</v>
      </c>
      <c r="I92" s="41">
        <f t="shared" si="13"/>
        <v>494</v>
      </c>
      <c r="J92" s="41">
        <f t="shared" si="17"/>
        <v>494</v>
      </c>
      <c r="K92" s="41">
        <f t="shared" si="17"/>
        <v>494</v>
      </c>
      <c r="L92" s="12">
        <f>IFERROR(G92/'Income Statement'!B25,"")</f>
        <v>6.6083150984682718E-3</v>
      </c>
      <c r="M92" s="12">
        <f>IFERROR(H92/'Income Statement'!C25,"")</f>
        <v>1.1179252755210574E-2</v>
      </c>
      <c r="N92" s="12">
        <f>IFERROR(I92/'Income Statement'!D25,"")</f>
        <v>1.1343283582089553E-2</v>
      </c>
      <c r="O92" s="12">
        <f>IFERROR(J92/'Income Statement'!E25,"")</f>
        <v>1.3410065693034367E-2</v>
      </c>
      <c r="P92" s="12">
        <f>IFERROR(K92/'Income Statement'!F25,"")</f>
        <v>1.45546683951563E-2</v>
      </c>
      <c r="Q92" s="12">
        <f t="shared" si="11"/>
        <v>1.1419117104791812E-2</v>
      </c>
      <c r="R92" s="14" t="s">
        <v>287</v>
      </c>
      <c r="S92" s="15" t="s">
        <v>430</v>
      </c>
      <c r="T92" s="16">
        <f>ROUND(Q92*'Income Statement'!K25,0)</f>
        <v>572</v>
      </c>
      <c r="U92" s="16">
        <f>ROUND(Q92*'Income Statement'!L25,0)</f>
        <v>607</v>
      </c>
      <c r="V92" s="16">
        <f>ROUND(Q92*'Income Statement'!M25,0)</f>
        <v>643</v>
      </c>
      <c r="W92" s="16">
        <f>ROUND(Q92*'Income Statement'!N25,0)</f>
        <v>678</v>
      </c>
      <c r="X92" s="16">
        <f>ROUND(Q92*'Income Statement'!O25,0)</f>
        <v>713</v>
      </c>
    </row>
    <row r="93" spans="1:24" ht="15" customHeight="1" x14ac:dyDescent="0.2">
      <c r="A93" s="6" t="s">
        <v>431</v>
      </c>
      <c r="B93" s="11">
        <v>1322</v>
      </c>
      <c r="C93" s="11">
        <v>1251</v>
      </c>
      <c r="D93" s="11">
        <v>1125</v>
      </c>
      <c r="E93" s="11">
        <v>1001</v>
      </c>
      <c r="F93" s="11">
        <v>615</v>
      </c>
      <c r="G93" s="41">
        <f t="shared" si="16"/>
        <v>1322</v>
      </c>
      <c r="H93" s="41">
        <f t="shared" si="16"/>
        <v>1251</v>
      </c>
      <c r="I93" s="41">
        <f t="shared" si="13"/>
        <v>1125</v>
      </c>
      <c r="J93" s="41">
        <f t="shared" si="17"/>
        <v>1001</v>
      </c>
      <c r="K93" s="41">
        <f t="shared" si="17"/>
        <v>615</v>
      </c>
      <c r="L93" s="12">
        <f>IFERROR(G93/'Income Statement'!B25,"")</f>
        <v>2.8927789934354485E-2</v>
      </c>
      <c r="M93" s="12">
        <f>IFERROR(H93/'Income Statement'!C25,"")</f>
        <v>2.8310212948923941E-2</v>
      </c>
      <c r="N93" s="12">
        <f>IFERROR(I93/'Income Statement'!D25,"")</f>
        <v>2.5832376578645237E-2</v>
      </c>
      <c r="O93" s="12">
        <f>IFERROR(J93/'Income Statement'!E25,"")</f>
        <v>2.71730278516749E-2</v>
      </c>
      <c r="P93" s="12">
        <f>IFERROR(K93/'Income Statement'!F25,"")</f>
        <v>1.811967826522495E-2</v>
      </c>
      <c r="Q93" s="12">
        <f t="shared" si="11"/>
        <v>2.5672617115764702E-2</v>
      </c>
      <c r="R93" s="14" t="s">
        <v>287</v>
      </c>
      <c r="S93" s="15" t="s">
        <v>432</v>
      </c>
      <c r="T93" s="16">
        <f>ROUND(Q93*'Income Statement'!K25,0)</f>
        <v>1286</v>
      </c>
      <c r="U93" s="16">
        <f>ROUND(Q93*'Income Statement'!L25,0)</f>
        <v>1366</v>
      </c>
      <c r="V93" s="16">
        <f>ROUND(Q93*'Income Statement'!M25,0)</f>
        <v>1445</v>
      </c>
      <c r="W93" s="16">
        <f>ROUND(Q93*'Income Statement'!N25,0)</f>
        <v>1524</v>
      </c>
      <c r="X93" s="16">
        <f>ROUND(Q93*'Income Statement'!O25,0)</f>
        <v>1603</v>
      </c>
    </row>
    <row r="94" spans="1:24" ht="15" customHeight="1" x14ac:dyDescent="0.2">
      <c r="A94" s="6" t="s">
        <v>433</v>
      </c>
      <c r="B94" s="11">
        <v>778</v>
      </c>
      <c r="C94" s="11">
        <v>686</v>
      </c>
      <c r="D94" s="11">
        <v>572</v>
      </c>
      <c r="E94" s="11">
        <v>457</v>
      </c>
      <c r="F94" s="11">
        <v>320</v>
      </c>
      <c r="G94" s="41">
        <f t="shared" si="16"/>
        <v>778</v>
      </c>
      <c r="H94" s="41">
        <f t="shared" si="16"/>
        <v>686</v>
      </c>
      <c r="I94" s="41">
        <f t="shared" si="13"/>
        <v>572</v>
      </c>
      <c r="J94" s="41">
        <f t="shared" si="17"/>
        <v>457</v>
      </c>
      <c r="K94" s="41">
        <f t="shared" si="17"/>
        <v>320</v>
      </c>
      <c r="L94" s="12">
        <f>IFERROR(G94/'Income Statement'!B25,"")</f>
        <v>1.7024070021881839E-2</v>
      </c>
      <c r="M94" s="12">
        <f>IFERROR(H94/'Income Statement'!C25,"")</f>
        <v>1.5524225485980673E-2</v>
      </c>
      <c r="N94" s="12">
        <f>IFERROR(I94/'Income Statement'!D25,"")</f>
        <v>1.3134328358208954E-2</v>
      </c>
      <c r="O94" s="12">
        <f>IFERROR(J94/'Income Statement'!E25,"")</f>
        <v>1.2405668060155275E-2</v>
      </c>
      <c r="P94" s="12">
        <f>IFERROR(K94/'Income Statement'!F25,"")</f>
        <v>9.4281252762146075E-3</v>
      </c>
      <c r="Q94" s="12">
        <f t="shared" si="11"/>
        <v>1.350328344048827E-2</v>
      </c>
      <c r="R94" s="14" t="s">
        <v>287</v>
      </c>
      <c r="S94" s="15" t="s">
        <v>434</v>
      </c>
      <c r="T94" s="16">
        <f>ROUND(Q94*'Income Statement'!K25,0)</f>
        <v>677</v>
      </c>
      <c r="U94" s="16">
        <f>ROUND(Q94*'Income Statement'!L25,0)</f>
        <v>718</v>
      </c>
      <c r="V94" s="16">
        <f>ROUND(Q94*'Income Statement'!M25,0)</f>
        <v>760</v>
      </c>
      <c r="W94" s="16">
        <f>ROUND(Q94*'Income Statement'!N25,0)</f>
        <v>802</v>
      </c>
      <c r="X94" s="16">
        <f>ROUND(Q94*'Income Statement'!O25,0)</f>
        <v>843</v>
      </c>
    </row>
    <row r="95" spans="1:24" ht="15" customHeight="1" x14ac:dyDescent="0.2">
      <c r="A95" s="6" t="s">
        <v>435</v>
      </c>
      <c r="B95" s="11">
        <v>516</v>
      </c>
      <c r="C95" s="11">
        <v>516</v>
      </c>
      <c r="D95" s="11">
        <v>498</v>
      </c>
      <c r="E95" s="11">
        <v>497</v>
      </c>
      <c r="F95" s="11">
        <v>258</v>
      </c>
      <c r="G95" s="41">
        <f t="shared" si="16"/>
        <v>516</v>
      </c>
      <c r="H95" s="41">
        <f t="shared" si="16"/>
        <v>516</v>
      </c>
      <c r="I95" s="41">
        <f t="shared" si="13"/>
        <v>498</v>
      </c>
      <c r="J95" s="41">
        <f t="shared" si="17"/>
        <v>497</v>
      </c>
      <c r="K95" s="41">
        <f t="shared" si="17"/>
        <v>258</v>
      </c>
      <c r="L95" s="12">
        <f>IFERROR(G95/'Income Statement'!B25,"")</f>
        <v>1.1291028446389496E-2</v>
      </c>
      <c r="M95" s="12">
        <f>IFERROR(H95/'Income Statement'!C25,"")</f>
        <v>1.1677114213944647E-2</v>
      </c>
      <c r="N95" s="12">
        <f>IFERROR(I95/'Income Statement'!D25,"")</f>
        <v>1.1435132032146958E-2</v>
      </c>
      <c r="O95" s="12">
        <f>IFERROR(J95/'Income Statement'!E25,"")</f>
        <v>1.3491503338943483E-2</v>
      </c>
      <c r="P95" s="12">
        <f>IFERROR(K95/'Income Statement'!F25,"")</f>
        <v>7.6014260039480273E-3</v>
      </c>
      <c r="Q95" s="12">
        <f t="shared" si="11"/>
        <v>1.1099240807074523E-2</v>
      </c>
      <c r="R95" s="14" t="s">
        <v>287</v>
      </c>
      <c r="S95" s="15" t="s">
        <v>436</v>
      </c>
      <c r="T95" s="16">
        <f>ROUND(Q95*'Income Statement'!K25,0)</f>
        <v>556</v>
      </c>
      <c r="U95" s="16">
        <f>ROUND(Q95*'Income Statement'!L25,0)</f>
        <v>590</v>
      </c>
      <c r="V95" s="16">
        <f>ROUND(Q95*'Income Statement'!M25,0)</f>
        <v>625</v>
      </c>
      <c r="W95" s="16">
        <f>ROUND(Q95*'Income Statement'!N25,0)</f>
        <v>659</v>
      </c>
      <c r="X95" s="16">
        <f>ROUND(Q95*'Income Statement'!O25,0)</f>
        <v>693</v>
      </c>
    </row>
    <row r="96" spans="1:24" ht="15" customHeight="1" x14ac:dyDescent="0.2">
      <c r="A96" s="6" t="s">
        <v>437</v>
      </c>
      <c r="B96" s="11">
        <v>28</v>
      </c>
      <c r="C96" s="11">
        <v>49</v>
      </c>
      <c r="D96" s="11">
        <v>55</v>
      </c>
      <c r="E96" s="11">
        <v>47</v>
      </c>
      <c r="F96" s="11">
        <v>37</v>
      </c>
      <c r="G96" s="41">
        <f t="shared" si="16"/>
        <v>28</v>
      </c>
      <c r="H96" s="41">
        <f t="shared" si="16"/>
        <v>49</v>
      </c>
      <c r="I96" s="41">
        <f t="shared" si="13"/>
        <v>55</v>
      </c>
      <c r="J96" s="41">
        <f t="shared" si="17"/>
        <v>47</v>
      </c>
      <c r="K96" s="41">
        <f t="shared" si="17"/>
        <v>37</v>
      </c>
      <c r="L96" s="12">
        <f>IFERROR(G96/'Income Statement'!B25,"")</f>
        <v>6.1269146608315098E-4</v>
      </c>
      <c r="M96" s="12">
        <f>IFERROR(H96/'Income Statement'!C25,"")</f>
        <v>1.1088732489986195E-3</v>
      </c>
      <c r="N96" s="12">
        <f>IFERROR(I96/'Income Statement'!D25,"")</f>
        <v>1.2629161882893227E-3</v>
      </c>
      <c r="O96" s="12">
        <f>IFERROR(J96/'Income Statement'!E25,"")</f>
        <v>1.2758564525761442E-3</v>
      </c>
      <c r="P96" s="12">
        <f>IFERROR(K96/'Income Statement'!F25,"")</f>
        <v>1.0901269850623139E-3</v>
      </c>
      <c r="Q96" s="12">
        <f t="shared" si="11"/>
        <v>1.0700928682019102E-3</v>
      </c>
      <c r="R96" s="14" t="s">
        <v>287</v>
      </c>
      <c r="S96" s="15" t="s">
        <v>438</v>
      </c>
      <c r="T96" s="16">
        <f>ROUND(Q96*'Income Statement'!K25,0)</f>
        <v>54</v>
      </c>
      <c r="U96" s="16">
        <f>ROUND(Q96*'Income Statement'!L25,0)</f>
        <v>57</v>
      </c>
      <c r="V96" s="16">
        <f>ROUND(Q96*'Income Statement'!M25,0)</f>
        <v>60</v>
      </c>
      <c r="W96" s="16">
        <f>ROUND(Q96*'Income Statement'!N25,0)</f>
        <v>64</v>
      </c>
      <c r="X96" s="16">
        <f>ROUND(Q96*'Income Statement'!O25,0)</f>
        <v>67</v>
      </c>
    </row>
    <row r="97" spans="1:24" ht="15" customHeight="1" x14ac:dyDescent="0.2">
      <c r="A97" s="17" t="s">
        <v>439</v>
      </c>
      <c r="B97" s="18">
        <f t="shared" ref="B97:K97" si="18">B37+B39+B40+B41+B73+B77</f>
        <v>18048</v>
      </c>
      <c r="C97" s="18">
        <f t="shared" si="18"/>
        <v>17895</v>
      </c>
      <c r="D97" s="18">
        <f t="shared" si="18"/>
        <v>17392</v>
      </c>
      <c r="E97" s="18">
        <f t="shared" si="18"/>
        <v>17687</v>
      </c>
      <c r="F97" s="18">
        <f t="shared" si="18"/>
        <v>17118</v>
      </c>
      <c r="G97">
        <f t="shared" si="18"/>
        <v>13929</v>
      </c>
      <c r="H97">
        <f t="shared" si="18"/>
        <v>13666</v>
      </c>
      <c r="I97">
        <f t="shared" si="18"/>
        <v>13416</v>
      </c>
      <c r="J97">
        <f t="shared" si="18"/>
        <v>13769</v>
      </c>
      <c r="K97">
        <f t="shared" si="18"/>
        <v>13538</v>
      </c>
      <c r="L97" s="12">
        <f>IFERROR(G97/'Income Statement'!B25,"")</f>
        <v>0.30479212253829324</v>
      </c>
      <c r="M97" s="12">
        <f>IFERROR(H97/'Income Statement'!C25,"")</f>
        <v>0.30926248613908441</v>
      </c>
      <c r="N97" s="12">
        <f>IFERROR(I97/'Income Statement'!D25,"")</f>
        <v>0.30805970149253731</v>
      </c>
      <c r="O97" s="12">
        <f>IFERROR(J97/'Income Statement'!E25,"")</f>
        <v>0.37377164884087083</v>
      </c>
      <c r="P97" s="12">
        <f>IFERROR(K97/'Income Statement'!F25,"")</f>
        <v>0.39886862496685427</v>
      </c>
      <c r="Q97" s="12">
        <f t="shared" si="11"/>
        <v>0.33895091679552802</v>
      </c>
      <c r="R97" s="14" t="s">
        <v>440</v>
      </c>
      <c r="S97" s="15" t="s">
        <v>441</v>
      </c>
      <c r="T97" s="43">
        <f>T37+T39+T40+T41+T73+T77</f>
        <v>14477</v>
      </c>
      <c r="U97" s="43">
        <f>U37+U39+U40+U41+U73+U77</f>
        <v>15179</v>
      </c>
      <c r="V97" s="43">
        <f>V37+V39+V40+V41+V73+V77</f>
        <v>15934</v>
      </c>
      <c r="W97" s="43">
        <f>W37+W39+W40+W41+W73+W77</f>
        <v>16733</v>
      </c>
      <c r="X97" s="43">
        <f>X37+X39+X40+X41+X73+X77</f>
        <v>17572</v>
      </c>
    </row>
    <row r="98" spans="1:24" ht="15" customHeight="1" x14ac:dyDescent="0.2">
      <c r="A98" s="5" t="s">
        <v>442</v>
      </c>
      <c r="B98" s="5"/>
      <c r="C98" s="5"/>
      <c r="D98" s="5"/>
      <c r="E98" s="5"/>
      <c r="F98" s="5"/>
      <c r="R98" s="10"/>
      <c r="S98" s="10"/>
    </row>
    <row r="99" spans="1:24" ht="15" customHeight="1" x14ac:dyDescent="0.2">
      <c r="A99" s="17" t="s">
        <v>442</v>
      </c>
      <c r="B99" s="18">
        <f t="shared" ref="B99:K99" si="19">B35+B97</f>
        <v>27981</v>
      </c>
      <c r="C99" s="18">
        <f t="shared" si="19"/>
        <v>27309</v>
      </c>
      <c r="D99" s="18">
        <f t="shared" si="19"/>
        <v>26546</v>
      </c>
      <c r="E99" s="18">
        <f t="shared" si="19"/>
        <v>27286</v>
      </c>
      <c r="F99" s="18">
        <f t="shared" si="19"/>
        <v>26214</v>
      </c>
      <c r="G99">
        <f t="shared" si="19"/>
        <v>23862</v>
      </c>
      <c r="H99">
        <f t="shared" si="19"/>
        <v>23080</v>
      </c>
      <c r="I99">
        <f t="shared" si="19"/>
        <v>22570</v>
      </c>
      <c r="J99">
        <f t="shared" si="19"/>
        <v>23368</v>
      </c>
      <c r="K99">
        <f t="shared" si="19"/>
        <v>22634</v>
      </c>
      <c r="L99" s="12">
        <f>IFERROR(G99/'Income Statement'!B25,"")</f>
        <v>0.52214442013129103</v>
      </c>
      <c r="M99" s="12">
        <f>IFERROR(H99/'Income Statement'!C25,"")</f>
        <v>0.52230193034465588</v>
      </c>
      <c r="N99" s="12">
        <f>IFERROR(I99/'Income Statement'!D25,"")</f>
        <v>0.51825487944890924</v>
      </c>
      <c r="O99" s="12">
        <f>IFERROR(J99/'Income Statement'!E25,"")</f>
        <v>0.63434496986807098</v>
      </c>
      <c r="P99" s="12">
        <f>IFERROR(K99/'Income Statement'!F25,"")</f>
        <v>0.6668630859432545</v>
      </c>
      <c r="Q99" s="12">
        <f>IFERROR(AVERAGE(L99:P99),"")</f>
        <v>0.5727818571472364</v>
      </c>
      <c r="R99" s="14" t="s">
        <v>443</v>
      </c>
      <c r="S99" s="15" t="s">
        <v>444</v>
      </c>
      <c r="T99" s="43">
        <f>T35+T97</f>
        <v>27227</v>
      </c>
      <c r="U99" s="43">
        <f>U35+U97</f>
        <v>28725</v>
      </c>
      <c r="V99" s="43">
        <f>V35+V97</f>
        <v>30249</v>
      </c>
      <c r="W99" s="43">
        <f>W35+W97</f>
        <v>31798</v>
      </c>
      <c r="X99" s="43">
        <f>X35+X97</f>
        <v>33371</v>
      </c>
    </row>
    <row r="100" spans="1:24" ht="15" customHeight="1" x14ac:dyDescent="0.2">
      <c r="A100" s="5" t="s">
        <v>445</v>
      </c>
      <c r="B100" s="5"/>
      <c r="C100" s="5"/>
      <c r="D100" s="5"/>
      <c r="E100" s="5"/>
      <c r="F100" s="5"/>
      <c r="R100" s="10"/>
      <c r="S100" s="10"/>
    </row>
    <row r="101" spans="1:24" ht="15" customHeight="1" x14ac:dyDescent="0.2">
      <c r="A101" s="6" t="s">
        <v>446</v>
      </c>
      <c r="B101" s="11">
        <v>6364</v>
      </c>
      <c r="C101" s="11">
        <v>6317</v>
      </c>
      <c r="D101" s="11">
        <v>6137</v>
      </c>
      <c r="E101" s="11">
        <v>6262</v>
      </c>
      <c r="F101" s="11">
        <v>5123</v>
      </c>
      <c r="G101" s="41">
        <f t="shared" ref="G101:K105" si="20">B101</f>
        <v>6364</v>
      </c>
      <c r="H101" s="41">
        <f t="shared" si="20"/>
        <v>6317</v>
      </c>
      <c r="I101" s="41">
        <f t="shared" si="20"/>
        <v>6137</v>
      </c>
      <c r="J101" s="41">
        <f t="shared" si="20"/>
        <v>6262</v>
      </c>
      <c r="K101" s="41">
        <f t="shared" si="20"/>
        <v>5123</v>
      </c>
      <c r="L101" s="12">
        <f>IFERROR(G101/'Income Statement'!B25,"")</f>
        <v>0.13925601750547045</v>
      </c>
      <c r="M101" s="12">
        <f>IFERROR(H101/'Income Statement'!C25,"")</f>
        <v>0.14295412885559755</v>
      </c>
      <c r="N101" s="12">
        <f>IFERROR(I101/'Income Statement'!D25,"")</f>
        <v>0.14091848450057406</v>
      </c>
      <c r="O101" s="12">
        <f>IFERROR(J101/'Income Statement'!E25,"")</f>
        <v>0.16998751289429392</v>
      </c>
      <c r="P101" s="12">
        <f>IFERROR(K101/'Income Statement'!F25,"")</f>
        <v>0.15093839309389823</v>
      </c>
      <c r="Q101" s="12">
        <f t="shared" ref="Q101:Q113" si="21">IFERROR(AVERAGE(L101:P101),"")</f>
        <v>0.14881090736996685</v>
      </c>
      <c r="R101" s="14" t="s">
        <v>287</v>
      </c>
      <c r="S101" s="15" t="s">
        <v>447</v>
      </c>
      <c r="T101" s="16">
        <f>ROUND(Q101*'Income Statement'!K25,0)</f>
        <v>7456</v>
      </c>
      <c r="U101" s="16">
        <f>ROUND(Q101*'Income Statement'!L25,0)</f>
        <v>7915</v>
      </c>
      <c r="V101" s="16">
        <f>ROUND(Q101*'Income Statement'!M25,0)</f>
        <v>8375</v>
      </c>
      <c r="W101" s="16">
        <f>ROUND(Q101*'Income Statement'!N25,0)</f>
        <v>8834</v>
      </c>
      <c r="X101" s="16">
        <f>ROUND(Q101*'Income Statement'!O25,0)</f>
        <v>9294</v>
      </c>
    </row>
    <row r="102" spans="1:24" ht="15" customHeight="1" x14ac:dyDescent="0.2">
      <c r="A102" s="6" t="s">
        <v>448</v>
      </c>
      <c r="B102" s="11">
        <v>5440</v>
      </c>
      <c r="C102" s="11">
        <v>5377</v>
      </c>
      <c r="D102" s="11">
        <v>5268</v>
      </c>
      <c r="E102" s="11">
        <v>5362</v>
      </c>
      <c r="F102" s="11">
        <v>4234</v>
      </c>
      <c r="G102" s="41">
        <f t="shared" si="20"/>
        <v>5440</v>
      </c>
      <c r="H102" s="41">
        <f t="shared" si="20"/>
        <v>5377</v>
      </c>
      <c r="I102" s="41">
        <f t="shared" si="20"/>
        <v>5268</v>
      </c>
      <c r="J102" s="41">
        <f t="shared" si="20"/>
        <v>5362</v>
      </c>
      <c r="K102" s="41">
        <f t="shared" si="20"/>
        <v>4234</v>
      </c>
      <c r="L102" s="12">
        <f>IFERROR(G102/'Income Statement'!B25,"")</f>
        <v>0.11903719912472648</v>
      </c>
      <c r="M102" s="12">
        <f>IFERROR(H102/'Income Statement'!C25,"")</f>
        <v>0.12168186652786893</v>
      </c>
      <c r="N102" s="12">
        <f>IFERROR(I102/'Income Statement'!D25,"")</f>
        <v>0.12096440872560275</v>
      </c>
      <c r="O102" s="12">
        <f>IFERROR(J102/'Income Statement'!E25,"")</f>
        <v>0.14555621912155925</v>
      </c>
      <c r="P102" s="12">
        <f>IFERROR(K102/'Income Statement'!F25,"")</f>
        <v>0.12474588256091453</v>
      </c>
      <c r="Q102" s="12">
        <f t="shared" si="21"/>
        <v>0.1263971152121344</v>
      </c>
      <c r="R102" s="14" t="s">
        <v>287</v>
      </c>
      <c r="S102" s="15" t="s">
        <v>449</v>
      </c>
      <c r="T102" s="16">
        <f>ROUND(Q102*'Income Statement'!K25,0)</f>
        <v>6333</v>
      </c>
      <c r="U102" s="16">
        <f>ROUND(Q102*'Income Statement'!L25,0)</f>
        <v>6723</v>
      </c>
      <c r="V102" s="16">
        <f>ROUND(Q102*'Income Statement'!M25,0)</f>
        <v>7113</v>
      </c>
      <c r="W102" s="16">
        <f>ROUND(Q102*'Income Statement'!N25,0)</f>
        <v>7504</v>
      </c>
      <c r="X102" s="16">
        <f>ROUND(Q102*'Income Statement'!O25,0)</f>
        <v>7894</v>
      </c>
    </row>
    <row r="103" spans="1:24" ht="15" customHeight="1" x14ac:dyDescent="0.2">
      <c r="A103" s="6" t="s">
        <v>450</v>
      </c>
      <c r="B103" s="11">
        <v>924</v>
      </c>
      <c r="C103" s="11">
        <v>940</v>
      </c>
      <c r="D103" s="11">
        <v>869</v>
      </c>
      <c r="E103" s="11">
        <v>900</v>
      </c>
      <c r="F103" s="11">
        <v>889</v>
      </c>
      <c r="G103" s="41">
        <f t="shared" si="20"/>
        <v>924</v>
      </c>
      <c r="H103" s="41">
        <f t="shared" si="20"/>
        <v>940</v>
      </c>
      <c r="I103" s="41">
        <f t="shared" si="20"/>
        <v>869</v>
      </c>
      <c r="J103" s="41">
        <f t="shared" si="20"/>
        <v>900</v>
      </c>
      <c r="K103" s="41">
        <f t="shared" si="20"/>
        <v>889</v>
      </c>
      <c r="L103" s="12">
        <f>IFERROR(G103/'Income Statement'!B25,"")</f>
        <v>2.0218818380743981E-2</v>
      </c>
      <c r="M103" s="12">
        <f>IFERROR(H103/'Income Statement'!C25,"")</f>
        <v>2.1272262327728619E-2</v>
      </c>
      <c r="N103" s="12">
        <f>IFERROR(I103/'Income Statement'!D25,"")</f>
        <v>1.9954075774971297E-2</v>
      </c>
      <c r="O103" s="12">
        <f>IFERROR(J103/'Income Statement'!E25,"")</f>
        <v>2.4431293772734675E-2</v>
      </c>
      <c r="P103" s="12">
        <f>IFERROR(K103/'Income Statement'!F25,"")</f>
        <v>2.6192510532983708E-2</v>
      </c>
      <c r="Q103" s="12">
        <f t="shared" si="21"/>
        <v>2.2413792157832457E-2</v>
      </c>
      <c r="R103" s="14" t="s">
        <v>287</v>
      </c>
      <c r="S103" s="15" t="s">
        <v>451</v>
      </c>
      <c r="T103" s="16">
        <f>ROUND(Q103*'Income Statement'!K25,0)</f>
        <v>1123</v>
      </c>
      <c r="U103" s="16">
        <f>ROUND(Q103*'Income Statement'!L25,0)</f>
        <v>1192</v>
      </c>
      <c r="V103" s="16">
        <f>ROUND(Q103*'Income Statement'!M25,0)</f>
        <v>1261</v>
      </c>
      <c r="W103" s="16">
        <f>ROUND(Q103*'Income Statement'!N25,0)</f>
        <v>1331</v>
      </c>
      <c r="X103" s="16">
        <f>ROUND(Q103*'Income Statement'!O25,0)</f>
        <v>1400</v>
      </c>
    </row>
    <row r="104" spans="1:24" ht="15" customHeight="1" x14ac:dyDescent="0.2">
      <c r="A104" s="6" t="s">
        <v>452</v>
      </c>
      <c r="B104" s="11">
        <v>1149</v>
      </c>
      <c r="C104" s="11">
        <v>1165</v>
      </c>
      <c r="D104" s="11">
        <v>1135</v>
      </c>
      <c r="E104" s="11">
        <v>2088</v>
      </c>
      <c r="F104" s="11">
        <v>1919</v>
      </c>
      <c r="G104" s="41">
        <f t="shared" si="20"/>
        <v>1149</v>
      </c>
      <c r="H104" s="41">
        <f t="shared" si="20"/>
        <v>1165</v>
      </c>
      <c r="I104" s="41">
        <f t="shared" si="20"/>
        <v>1135</v>
      </c>
      <c r="J104" s="41">
        <f t="shared" si="20"/>
        <v>2088</v>
      </c>
      <c r="K104" s="41">
        <f t="shared" si="20"/>
        <v>1919</v>
      </c>
      <c r="L104" s="12">
        <f>IFERROR(G104/'Income Statement'!B25,"")</f>
        <v>2.5142231947483589E-2</v>
      </c>
      <c r="M104" s="12">
        <f>IFERROR(H104/'Income Statement'!C25,"")</f>
        <v>2.6364027246599833E-2</v>
      </c>
      <c r="N104" s="12">
        <f>IFERROR(I104/'Income Statement'!D25,"")</f>
        <v>2.6061997703788749E-2</v>
      </c>
      <c r="O104" s="12">
        <f>IFERROR(J104/'Income Statement'!E25,"")</f>
        <v>5.6680601552744451E-2</v>
      </c>
      <c r="P104" s="12">
        <f>IFERROR(K104/'Income Statement'!F25,"")</f>
        <v>5.6539288765799472E-2</v>
      </c>
      <c r="Q104" s="12">
        <f t="shared" si="21"/>
        <v>3.8157629443283221E-2</v>
      </c>
      <c r="R104" s="14" t="s">
        <v>287</v>
      </c>
      <c r="S104" s="15" t="s">
        <v>453</v>
      </c>
      <c r="T104" s="16">
        <f>ROUND(Q104*'Income Statement'!K25,0)</f>
        <v>1912</v>
      </c>
      <c r="U104" s="16">
        <f>ROUND(Q104*'Income Statement'!L25,0)</f>
        <v>2030</v>
      </c>
      <c r="V104" s="16">
        <f>ROUND(Q104*'Income Statement'!M25,0)</f>
        <v>2147</v>
      </c>
      <c r="W104" s="16">
        <f>ROUND(Q104*'Income Statement'!N25,0)</f>
        <v>2265</v>
      </c>
      <c r="X104" s="16">
        <f>ROUND(Q104*'Income Statement'!O25,0)</f>
        <v>2383</v>
      </c>
    </row>
    <row r="105" spans="1:24" ht="15" customHeight="1" x14ac:dyDescent="0.2">
      <c r="A105" s="6" t="s">
        <v>454</v>
      </c>
      <c r="B105" s="11">
        <v>1149</v>
      </c>
      <c r="C105" s="11">
        <v>1165</v>
      </c>
      <c r="D105" s="11">
        <v>1135</v>
      </c>
      <c r="E105" s="11">
        <v>2088</v>
      </c>
      <c r="F105" s="11">
        <v>1919</v>
      </c>
      <c r="G105" s="41">
        <f t="shared" si="20"/>
        <v>1149</v>
      </c>
      <c r="H105" s="41">
        <f t="shared" si="20"/>
        <v>1165</v>
      </c>
      <c r="I105" s="41">
        <f t="shared" si="20"/>
        <v>1135</v>
      </c>
      <c r="J105" s="41">
        <f t="shared" si="20"/>
        <v>2088</v>
      </c>
      <c r="K105" s="41">
        <f t="shared" si="20"/>
        <v>1919</v>
      </c>
      <c r="L105" s="12">
        <f>IFERROR(G105/'Income Statement'!B25,"")</f>
        <v>2.5142231947483589E-2</v>
      </c>
      <c r="M105" s="12">
        <f>IFERROR(H105/'Income Statement'!C25,"")</f>
        <v>2.6364027246599833E-2</v>
      </c>
      <c r="N105" s="12">
        <f>IFERROR(I105/'Income Statement'!D25,"")</f>
        <v>2.6061997703788749E-2</v>
      </c>
      <c r="O105" s="12">
        <f>IFERROR(J105/'Income Statement'!E25,"")</f>
        <v>5.6680601552744451E-2</v>
      </c>
      <c r="P105" s="12">
        <f>IFERROR(K105/'Income Statement'!F25,"")</f>
        <v>5.6539288765799472E-2</v>
      </c>
      <c r="Q105" s="12">
        <f t="shared" si="21"/>
        <v>3.8157629443283221E-2</v>
      </c>
      <c r="R105" s="14">
        <v>104</v>
      </c>
      <c r="S105" s="15" t="s">
        <v>455</v>
      </c>
      <c r="T105" s="16">
        <f>T104</f>
        <v>1912</v>
      </c>
      <c r="U105" s="16">
        <f>U104</f>
        <v>2030</v>
      </c>
      <c r="V105" s="16">
        <f>V104</f>
        <v>2147</v>
      </c>
      <c r="W105" s="16">
        <f>W104</f>
        <v>2265</v>
      </c>
      <c r="X105" s="16">
        <f>X104</f>
        <v>2383</v>
      </c>
    </row>
    <row r="106" spans="1:24" ht="15" customHeight="1" x14ac:dyDescent="0.2">
      <c r="A106" s="6" t="s">
        <v>456</v>
      </c>
      <c r="B106" s="6"/>
      <c r="C106" s="6"/>
      <c r="D106" s="11">
        <v>0</v>
      </c>
      <c r="E106" s="11">
        <v>988</v>
      </c>
      <c r="F106" s="11">
        <v>950</v>
      </c>
      <c r="I106" s="41">
        <f t="shared" ref="I106:K112" si="22">D106</f>
        <v>0</v>
      </c>
      <c r="J106" s="41">
        <f t="shared" si="22"/>
        <v>988</v>
      </c>
      <c r="K106" s="41">
        <f t="shared" si="22"/>
        <v>950</v>
      </c>
      <c r="L106" s="12">
        <f>IFERROR(G106/'Income Statement'!B25,"")</f>
        <v>0</v>
      </c>
      <c r="M106" s="12">
        <f>IFERROR(H106/'Income Statement'!C25,"")</f>
        <v>0</v>
      </c>
      <c r="N106" s="12">
        <f>IFERROR(I106/'Income Statement'!D25,"")</f>
        <v>0</v>
      </c>
      <c r="O106" s="12">
        <f>IFERROR(J106/'Income Statement'!E25,"")</f>
        <v>2.6820131386068733E-2</v>
      </c>
      <c r="P106" s="12">
        <f>IFERROR(K106/'Income Statement'!F25,"")</f>
        <v>2.7989746913762117E-2</v>
      </c>
      <c r="Q106" s="12">
        <f t="shared" si="21"/>
        <v>1.0961975659966169E-2</v>
      </c>
      <c r="R106" s="14" t="s">
        <v>298</v>
      </c>
      <c r="S106" s="15"/>
    </row>
    <row r="107" spans="1:24" ht="15" customHeight="1" x14ac:dyDescent="0.2">
      <c r="A107" s="6" t="s">
        <v>457</v>
      </c>
      <c r="B107" s="11">
        <v>1149</v>
      </c>
      <c r="C107" s="11">
        <v>1165</v>
      </c>
      <c r="D107" s="11">
        <v>1135</v>
      </c>
      <c r="E107" s="11">
        <v>1100</v>
      </c>
      <c r="F107" s="11">
        <v>969</v>
      </c>
      <c r="G107" s="41">
        <f t="shared" ref="G107:H112" si="23">B107</f>
        <v>1149</v>
      </c>
      <c r="H107" s="41">
        <f t="shared" si="23"/>
        <v>1165</v>
      </c>
      <c r="I107" s="41">
        <f t="shared" si="22"/>
        <v>1135</v>
      </c>
      <c r="J107" s="41">
        <f t="shared" si="22"/>
        <v>1100</v>
      </c>
      <c r="K107" s="41">
        <f t="shared" si="22"/>
        <v>969</v>
      </c>
      <c r="L107" s="12">
        <f>IFERROR(G107/'Income Statement'!B25,"")</f>
        <v>2.5142231947483589E-2</v>
      </c>
      <c r="M107" s="12">
        <f>IFERROR(H107/'Income Statement'!C25,"")</f>
        <v>2.6364027246599833E-2</v>
      </c>
      <c r="N107" s="12">
        <f>IFERROR(I107/'Income Statement'!D25,"")</f>
        <v>2.6061997703788749E-2</v>
      </c>
      <c r="O107" s="12">
        <f>IFERROR(J107/'Income Statement'!E25,"")</f>
        <v>2.9860470166675715E-2</v>
      </c>
      <c r="P107" s="12">
        <f>IFERROR(K107/'Income Statement'!F25,"")</f>
        <v>2.8549541852037359E-2</v>
      </c>
      <c r="Q107" s="12">
        <f t="shared" si="21"/>
        <v>2.7195653783317047E-2</v>
      </c>
      <c r="R107" s="14" t="s">
        <v>287</v>
      </c>
      <c r="S107" s="15" t="s">
        <v>458</v>
      </c>
      <c r="T107" s="16">
        <f>ROUND(Q107*'Income Statement'!K25,0)</f>
        <v>1363</v>
      </c>
      <c r="U107" s="16">
        <f>ROUND(Q107*'Income Statement'!L25,0)</f>
        <v>1447</v>
      </c>
      <c r="V107" s="16">
        <f>ROUND(Q107*'Income Statement'!M25,0)</f>
        <v>1531</v>
      </c>
      <c r="W107" s="16">
        <f>ROUND(Q107*'Income Statement'!N25,0)</f>
        <v>1614</v>
      </c>
      <c r="X107" s="16">
        <f>ROUND(Q107*'Income Statement'!O25,0)</f>
        <v>1698</v>
      </c>
    </row>
    <row r="108" spans="1:24" ht="15" customHeight="1" x14ac:dyDescent="0.2">
      <c r="A108" s="6" t="s">
        <v>459</v>
      </c>
      <c r="B108" s="11">
        <v>88</v>
      </c>
      <c r="C108" s="11">
        <v>36</v>
      </c>
      <c r="D108" s="11">
        <v>10</v>
      </c>
      <c r="E108" s="11">
        <v>2</v>
      </c>
      <c r="F108" s="11">
        <v>43</v>
      </c>
      <c r="G108" s="41">
        <f t="shared" si="23"/>
        <v>88</v>
      </c>
      <c r="H108" s="41">
        <f t="shared" si="23"/>
        <v>36</v>
      </c>
      <c r="I108" s="41">
        <f t="shared" si="22"/>
        <v>10</v>
      </c>
      <c r="J108" s="41">
        <f t="shared" si="22"/>
        <v>2</v>
      </c>
      <c r="K108" s="41">
        <f t="shared" si="22"/>
        <v>43</v>
      </c>
      <c r="L108" s="12">
        <f>IFERROR(G108/'Income Statement'!B25,"")</f>
        <v>1.925601750547046E-3</v>
      </c>
      <c r="M108" s="12">
        <f>IFERROR(H108/'Income Statement'!C25,"")</f>
        <v>8.1468238701939391E-4</v>
      </c>
      <c r="N108" s="12">
        <f>IFERROR(I108/'Income Statement'!D25,"")</f>
        <v>2.296211251435132E-4</v>
      </c>
      <c r="O108" s="12">
        <f>IFERROR(J108/'Income Statement'!E25,"")</f>
        <v>5.4291763939410394E-5</v>
      </c>
      <c r="P108" s="12">
        <f>IFERROR(K108/'Income Statement'!F25,"")</f>
        <v>1.266904333991338E-3</v>
      </c>
      <c r="Q108" s="12">
        <f t="shared" si="21"/>
        <v>8.5822027212814037E-4</v>
      </c>
      <c r="R108" s="14" t="s">
        <v>287</v>
      </c>
      <c r="S108" s="15" t="s">
        <v>460</v>
      </c>
      <c r="T108" s="16">
        <f>ROUND(Q108*'Income Statement'!K25,0)</f>
        <v>43</v>
      </c>
      <c r="U108" s="16">
        <f>ROUND(Q108*'Income Statement'!L25,0)</f>
        <v>46</v>
      </c>
      <c r="V108" s="16">
        <f>ROUND(Q108*'Income Statement'!M25,0)</f>
        <v>48</v>
      </c>
      <c r="W108" s="16">
        <f>ROUND(Q108*'Income Statement'!N25,0)</f>
        <v>51</v>
      </c>
      <c r="X108" s="16">
        <f>ROUND(Q108*'Income Statement'!O25,0)</f>
        <v>54</v>
      </c>
    </row>
    <row r="109" spans="1:24" ht="15" customHeight="1" x14ac:dyDescent="0.2">
      <c r="A109" s="6" t="s">
        <v>461</v>
      </c>
      <c r="B109" s="11">
        <v>186</v>
      </c>
      <c r="C109" s="11">
        <v>124</v>
      </c>
      <c r="D109" s="11">
        <v>0</v>
      </c>
      <c r="E109" s="11">
        <v>6</v>
      </c>
      <c r="F109" s="11">
        <v>349</v>
      </c>
      <c r="G109" s="41">
        <f t="shared" si="23"/>
        <v>186</v>
      </c>
      <c r="H109" s="41">
        <f t="shared" si="23"/>
        <v>124</v>
      </c>
      <c r="I109" s="41">
        <f t="shared" si="22"/>
        <v>0</v>
      </c>
      <c r="J109" s="41">
        <f t="shared" si="22"/>
        <v>6</v>
      </c>
      <c r="K109" s="41">
        <f t="shared" si="22"/>
        <v>349</v>
      </c>
      <c r="L109" s="12">
        <f>IFERROR(G109/'Income Statement'!B25,"")</f>
        <v>4.070021881838074E-3</v>
      </c>
      <c r="M109" s="12">
        <f>IFERROR(H109/'Income Statement'!C25,"")</f>
        <v>2.8061282219556901E-3</v>
      </c>
      <c r="N109" s="12">
        <f>IFERROR(I109/'Income Statement'!D25,"")</f>
        <v>0</v>
      </c>
      <c r="O109" s="12">
        <f>IFERROR(J109/'Income Statement'!E25,"")</f>
        <v>1.6287529181823116E-4</v>
      </c>
      <c r="P109" s="12">
        <f>IFERROR(K109/'Income Statement'!F25,"")</f>
        <v>1.0282549129371557E-2</v>
      </c>
      <c r="Q109" s="12">
        <f t="shared" si="21"/>
        <v>3.4643149049967104E-3</v>
      </c>
      <c r="R109" s="14" t="s">
        <v>287</v>
      </c>
      <c r="S109" s="15" t="s">
        <v>462</v>
      </c>
      <c r="T109" s="16">
        <f>ROUND(Q109*'Income Statement'!K25,0)</f>
        <v>174</v>
      </c>
      <c r="U109" s="16">
        <f>ROUND(Q109*'Income Statement'!L25,0)</f>
        <v>184</v>
      </c>
      <c r="V109" s="16">
        <f>ROUND(Q109*'Income Statement'!M25,0)</f>
        <v>195</v>
      </c>
      <c r="W109" s="16">
        <f>ROUND(Q109*'Income Statement'!N25,0)</f>
        <v>206</v>
      </c>
      <c r="X109" s="16">
        <f>ROUND(Q109*'Income Statement'!O25,0)</f>
        <v>216</v>
      </c>
    </row>
    <row r="110" spans="1:24" ht="15" customHeight="1" x14ac:dyDescent="0.2">
      <c r="A110" s="6" t="s">
        <v>463</v>
      </c>
      <c r="B110" s="11">
        <v>541</v>
      </c>
      <c r="C110" s="11">
        <v>586</v>
      </c>
      <c r="D110" s="11">
        <v>575</v>
      </c>
      <c r="E110" s="11">
        <v>550</v>
      </c>
      <c r="F110" s="11">
        <v>481</v>
      </c>
      <c r="G110" s="41">
        <f t="shared" si="23"/>
        <v>541</v>
      </c>
      <c r="H110" s="41">
        <f t="shared" si="23"/>
        <v>586</v>
      </c>
      <c r="I110" s="41">
        <f t="shared" si="22"/>
        <v>575</v>
      </c>
      <c r="J110" s="41">
        <f t="shared" si="22"/>
        <v>550</v>
      </c>
      <c r="K110" s="41">
        <f t="shared" si="22"/>
        <v>481</v>
      </c>
      <c r="L110" s="12">
        <f>IFERROR(G110/'Income Statement'!B25,"")</f>
        <v>1.1838074398249453E-2</v>
      </c>
      <c r="M110" s="12">
        <f>IFERROR(H110/'Income Statement'!C25,"")</f>
        <v>1.3261218855371246E-2</v>
      </c>
      <c r="N110" s="12">
        <f>IFERROR(I110/'Income Statement'!D25,"")</f>
        <v>1.3203214695752009E-2</v>
      </c>
      <c r="O110" s="12">
        <f>IFERROR(J110/'Income Statement'!E25,"")</f>
        <v>1.4930235083337857E-2</v>
      </c>
      <c r="P110" s="12">
        <f>IFERROR(K110/'Income Statement'!F25,"")</f>
        <v>1.4171650805810083E-2</v>
      </c>
      <c r="Q110" s="12">
        <f t="shared" si="21"/>
        <v>1.3480878767704129E-2</v>
      </c>
      <c r="R110" s="14" t="s">
        <v>287</v>
      </c>
      <c r="S110" s="15" t="s">
        <v>464</v>
      </c>
      <c r="T110" s="16">
        <f>ROUND(Q110*'Income Statement'!K25,0)</f>
        <v>675</v>
      </c>
      <c r="U110" s="16">
        <f>ROUND(Q110*'Income Statement'!L25,0)</f>
        <v>717</v>
      </c>
      <c r="V110" s="16">
        <f>ROUND(Q110*'Income Statement'!M25,0)</f>
        <v>759</v>
      </c>
      <c r="W110" s="16">
        <f>ROUND(Q110*'Income Statement'!N25,0)</f>
        <v>800</v>
      </c>
      <c r="X110" s="16">
        <f>ROUND(Q110*'Income Statement'!O25,0)</f>
        <v>842</v>
      </c>
    </row>
    <row r="111" spans="1:24" ht="15" customHeight="1" x14ac:dyDescent="0.2">
      <c r="A111" s="6" t="s">
        <v>465</v>
      </c>
      <c r="B111" s="11">
        <v>202</v>
      </c>
      <c r="C111" s="11">
        <v>223</v>
      </c>
      <c r="D111" s="11">
        <v>248</v>
      </c>
      <c r="E111" s="11">
        <v>263</v>
      </c>
      <c r="F111" s="11">
        <v>263</v>
      </c>
      <c r="G111" s="41">
        <f t="shared" si="23"/>
        <v>202</v>
      </c>
      <c r="H111" s="41">
        <f t="shared" si="23"/>
        <v>223</v>
      </c>
      <c r="I111" s="41">
        <f t="shared" si="22"/>
        <v>248</v>
      </c>
      <c r="J111" s="41">
        <f t="shared" si="22"/>
        <v>263</v>
      </c>
      <c r="K111" s="41">
        <f t="shared" si="22"/>
        <v>263</v>
      </c>
      <c r="L111" s="12">
        <f>IFERROR(G111/'Income Statement'!B25,"")</f>
        <v>4.420131291028446E-3</v>
      </c>
      <c r="M111" s="12">
        <f>IFERROR(H111/'Income Statement'!C25,"")</f>
        <v>5.0465047862590234E-3</v>
      </c>
      <c r="N111" s="12">
        <f>IFERROR(I111/'Income Statement'!D25,"")</f>
        <v>5.6946039035591272E-3</v>
      </c>
      <c r="O111" s="12">
        <f>IFERROR(J111/'Income Statement'!E25,"")</f>
        <v>7.1393669580324661E-3</v>
      </c>
      <c r="P111" s="12">
        <f>IFERROR(K111/'Income Statement'!F25,"")</f>
        <v>7.7487404613888807E-3</v>
      </c>
      <c r="Q111" s="12">
        <f t="shared" si="21"/>
        <v>6.0098694800535882E-3</v>
      </c>
      <c r="R111" s="14" t="s">
        <v>287</v>
      </c>
      <c r="S111" s="15" t="s">
        <v>466</v>
      </c>
      <c r="T111" s="16">
        <f>ROUND(Q111*'Income Statement'!K25,0)</f>
        <v>301</v>
      </c>
      <c r="U111" s="16">
        <f>ROUND(Q111*'Income Statement'!L25,0)</f>
        <v>320</v>
      </c>
      <c r="V111" s="16">
        <f>ROUND(Q111*'Income Statement'!M25,0)</f>
        <v>338</v>
      </c>
      <c r="W111" s="16">
        <f>ROUND(Q111*'Income Statement'!N25,0)</f>
        <v>357</v>
      </c>
      <c r="X111" s="16">
        <f>ROUND(Q111*'Income Statement'!O25,0)</f>
        <v>375</v>
      </c>
    </row>
    <row r="112" spans="1:24" ht="15" customHeight="1" x14ac:dyDescent="0.2">
      <c r="A112" s="6" t="s">
        <v>467</v>
      </c>
      <c r="B112" s="11">
        <v>339</v>
      </c>
      <c r="C112" s="11">
        <v>363</v>
      </c>
      <c r="D112" s="11">
        <v>327</v>
      </c>
      <c r="E112" s="11">
        <v>287</v>
      </c>
      <c r="F112" s="11">
        <v>218</v>
      </c>
      <c r="G112" s="41">
        <f t="shared" si="23"/>
        <v>339</v>
      </c>
      <c r="H112" s="41">
        <f t="shared" si="23"/>
        <v>363</v>
      </c>
      <c r="I112" s="41">
        <f t="shared" si="22"/>
        <v>327</v>
      </c>
      <c r="J112" s="41">
        <f t="shared" si="22"/>
        <v>287</v>
      </c>
      <c r="K112" s="41">
        <f t="shared" si="22"/>
        <v>218</v>
      </c>
      <c r="L112" s="12">
        <f>IFERROR(G112/'Income Statement'!B25,"")</f>
        <v>7.4179431072210061E-3</v>
      </c>
      <c r="M112" s="12">
        <f>IFERROR(H112/'Income Statement'!C25,"")</f>
        <v>8.2147140691122226E-3</v>
      </c>
      <c r="N112" s="12">
        <f>IFERROR(I112/'Income Statement'!D25,"")</f>
        <v>7.5086107921928814E-3</v>
      </c>
      <c r="O112" s="12">
        <f>IFERROR(J112/'Income Statement'!E25,"")</f>
        <v>7.7908681253053913E-3</v>
      </c>
      <c r="P112" s="12">
        <f>IFERROR(K112/'Income Statement'!F25,"")</f>
        <v>6.4229103444212012E-3</v>
      </c>
      <c r="Q112" s="12">
        <f t="shared" si="21"/>
        <v>7.4710092876505403E-3</v>
      </c>
      <c r="R112" s="14" t="s">
        <v>287</v>
      </c>
      <c r="S112" s="15" t="s">
        <v>468</v>
      </c>
      <c r="T112" s="16">
        <f>ROUND(Q112*'Income Statement'!K25,0)</f>
        <v>374</v>
      </c>
      <c r="U112" s="16">
        <f>ROUND(Q112*'Income Statement'!L25,0)</f>
        <v>397</v>
      </c>
      <c r="V112" s="16">
        <f>ROUND(Q112*'Income Statement'!M25,0)</f>
        <v>420</v>
      </c>
      <c r="W112" s="16">
        <f>ROUND(Q112*'Income Statement'!N25,0)</f>
        <v>444</v>
      </c>
      <c r="X112" s="16">
        <f>ROUND(Q112*'Income Statement'!O25,0)</f>
        <v>467</v>
      </c>
    </row>
    <row r="113" spans="1:24" ht="15" customHeight="1" x14ac:dyDescent="0.2">
      <c r="A113" s="17" t="s">
        <v>469</v>
      </c>
      <c r="B113" s="18">
        <f t="shared" ref="B113:K113" si="24">B101+B104+B108+B109+B110</f>
        <v>8328</v>
      </c>
      <c r="C113" s="18">
        <f t="shared" si="24"/>
        <v>8228</v>
      </c>
      <c r="D113" s="18">
        <f t="shared" si="24"/>
        <v>7857</v>
      </c>
      <c r="E113" s="18">
        <f t="shared" si="24"/>
        <v>8908</v>
      </c>
      <c r="F113" s="18">
        <f t="shared" si="24"/>
        <v>7915</v>
      </c>
      <c r="G113">
        <f t="shared" si="24"/>
        <v>8328</v>
      </c>
      <c r="H113">
        <f t="shared" si="24"/>
        <v>8228</v>
      </c>
      <c r="I113">
        <f t="shared" si="24"/>
        <v>7857</v>
      </c>
      <c r="J113">
        <f t="shared" si="24"/>
        <v>8908</v>
      </c>
      <c r="K113">
        <f t="shared" si="24"/>
        <v>7915</v>
      </c>
      <c r="L113" s="12">
        <f>IFERROR(G113/'Income Statement'!B25,"")</f>
        <v>0.18223194748358862</v>
      </c>
      <c r="M113" s="12">
        <f>IFERROR(H113/'Income Statement'!C25,"")</f>
        <v>0.18620018556654372</v>
      </c>
      <c r="N113" s="12">
        <f>IFERROR(I113/'Income Statement'!D25,"")</f>
        <v>0.18041331802525831</v>
      </c>
      <c r="O113" s="12">
        <f>IFERROR(J113/'Income Statement'!E25,"")</f>
        <v>0.24181551658613387</v>
      </c>
      <c r="P113" s="12">
        <f>IFERROR(K113/'Income Statement'!F25,"")</f>
        <v>0.23319878612887068</v>
      </c>
      <c r="Q113" s="12">
        <f t="shared" si="21"/>
        <v>0.20477195075807905</v>
      </c>
      <c r="R113" s="14" t="s">
        <v>470</v>
      </c>
      <c r="S113" s="15" t="s">
        <v>471</v>
      </c>
      <c r="T113" s="43">
        <f>T101+T104+T108+T109+T110</f>
        <v>10260</v>
      </c>
      <c r="U113" s="43">
        <f>U101+U104+U108+U109+U110</f>
        <v>10892</v>
      </c>
      <c r="V113" s="43">
        <f>V101+V104+V108+V109+V110</f>
        <v>11524</v>
      </c>
      <c r="W113" s="43">
        <f>W101+W104+W108+W109+W110</f>
        <v>12156</v>
      </c>
      <c r="X113" s="43">
        <f>X101+X104+X108+X109+X110</f>
        <v>12789</v>
      </c>
    </row>
    <row r="114" spans="1:24" ht="15" customHeight="1" x14ac:dyDescent="0.2">
      <c r="A114" s="5" t="s">
        <v>472</v>
      </c>
      <c r="B114" s="5"/>
      <c r="C114" s="5"/>
      <c r="D114" s="5"/>
      <c r="E114" s="5"/>
      <c r="F114" s="5"/>
      <c r="R114" s="10"/>
      <c r="S114" s="10"/>
    </row>
    <row r="115" spans="1:24" ht="15" customHeight="1" x14ac:dyDescent="0.2">
      <c r="A115" s="6" t="s">
        <v>473</v>
      </c>
      <c r="B115" s="11">
        <v>10019</v>
      </c>
      <c r="C115" s="11">
        <v>10113</v>
      </c>
      <c r="D115" s="11">
        <v>10034</v>
      </c>
      <c r="E115" s="11">
        <v>9993</v>
      </c>
      <c r="F115" s="11">
        <v>8208</v>
      </c>
      <c r="G115" s="41">
        <f t="shared" ref="G115:K118" si="25">B115</f>
        <v>10019</v>
      </c>
      <c r="H115" s="41">
        <f t="shared" si="25"/>
        <v>10113</v>
      </c>
      <c r="I115" s="41">
        <f t="shared" si="25"/>
        <v>10034</v>
      </c>
      <c r="J115" s="41">
        <f t="shared" si="25"/>
        <v>9993</v>
      </c>
      <c r="K115" s="41">
        <f t="shared" si="25"/>
        <v>8208</v>
      </c>
      <c r="L115" s="12">
        <f>IFERROR(G115/'Income Statement'!B25,"")</f>
        <v>0.21923413566739605</v>
      </c>
      <c r="M115" s="12">
        <f>IFERROR(H115/'Income Statement'!C25,"")</f>
        <v>0.22885786055353141</v>
      </c>
      <c r="N115" s="12">
        <f>IFERROR(I115/'Income Statement'!D25,"")</f>
        <v>0.23040183696900116</v>
      </c>
      <c r="O115" s="12">
        <f>IFERROR(J115/'Income Statement'!E25,"")</f>
        <v>0.27126879852326402</v>
      </c>
      <c r="P115" s="12">
        <f>IFERROR(K115/'Income Statement'!F25,"")</f>
        <v>0.24183141333490468</v>
      </c>
      <c r="Q115" s="12">
        <f t="shared" ref="Q115:Q126" si="26">IFERROR(AVERAGE(L115:P115),"")</f>
        <v>0.23831880900961946</v>
      </c>
      <c r="R115" s="14" t="s">
        <v>474</v>
      </c>
      <c r="S115" s="15" t="s">
        <v>475</v>
      </c>
      <c r="T115" s="16">
        <f>T116+T118</f>
        <v>11047</v>
      </c>
      <c r="U115" s="16">
        <f>U116+U118</f>
        <v>11486</v>
      </c>
      <c r="V115" s="16">
        <f>V116+V118</f>
        <v>11924</v>
      </c>
      <c r="W115" s="16">
        <f>W116+W118</f>
        <v>12363</v>
      </c>
      <c r="X115" s="16">
        <f>X116+X118</f>
        <v>12801</v>
      </c>
    </row>
    <row r="116" spans="1:24" ht="15" customHeight="1" x14ac:dyDescent="0.2">
      <c r="A116" s="6" t="s">
        <v>476</v>
      </c>
      <c r="B116" s="11">
        <v>4719</v>
      </c>
      <c r="C116" s="11">
        <v>4756</v>
      </c>
      <c r="D116" s="11">
        <v>4430</v>
      </c>
      <c r="E116" s="11">
        <v>3970</v>
      </c>
      <c r="F116" s="11">
        <v>2072</v>
      </c>
      <c r="G116" s="41">
        <f t="shared" si="25"/>
        <v>4719</v>
      </c>
      <c r="H116" s="41">
        <f t="shared" si="25"/>
        <v>4756</v>
      </c>
      <c r="I116" s="41">
        <f t="shared" si="25"/>
        <v>4430</v>
      </c>
      <c r="J116" s="41">
        <f t="shared" si="25"/>
        <v>3970</v>
      </c>
      <c r="K116" s="41">
        <f t="shared" si="25"/>
        <v>2072</v>
      </c>
      <c r="L116" s="12">
        <f>IFERROR(G116/'Income Statement'!B25,"")</f>
        <v>0.10326039387308535</v>
      </c>
      <c r="M116" s="12">
        <f>IFERROR(H116/'Income Statement'!C25,"")</f>
        <v>0.10762859535178439</v>
      </c>
      <c r="N116" s="12">
        <f>IFERROR(I116/'Income Statement'!D25,"")</f>
        <v>0.10172215843857635</v>
      </c>
      <c r="O116" s="12">
        <f>IFERROR(J116/'Income Statement'!E25,"")</f>
        <v>0.10776915141972963</v>
      </c>
      <c r="P116" s="12">
        <f>IFERROR(K116/'Income Statement'!F25,"")</f>
        <v>6.1047111163489584E-2</v>
      </c>
      <c r="Q116" s="12">
        <f t="shared" si="26"/>
        <v>9.6285482049333071E-2</v>
      </c>
      <c r="R116" s="14" t="s">
        <v>477</v>
      </c>
      <c r="S116" s="15" t="s">
        <v>478</v>
      </c>
      <c r="T116" s="20">
        <f>ROUND(0.2896*T134,0)</f>
        <v>3931</v>
      </c>
      <c r="U116" s="20">
        <f>ROUND(0.2896*U134,0)</f>
        <v>3931</v>
      </c>
      <c r="V116" s="20">
        <f>ROUND(0.2896*V134,0)</f>
        <v>3931</v>
      </c>
      <c r="W116" s="20">
        <f>ROUND(0.2896*W134,0)</f>
        <v>3931</v>
      </c>
      <c r="X116" s="20">
        <f>ROUND(0.2896*X134,0)</f>
        <v>3931</v>
      </c>
    </row>
    <row r="117" spans="1:24" ht="15" customHeight="1" x14ac:dyDescent="0.2">
      <c r="A117" s="6" t="s">
        <v>479</v>
      </c>
      <c r="B117" s="11">
        <v>4719</v>
      </c>
      <c r="C117" s="11">
        <v>4756</v>
      </c>
      <c r="D117" s="11">
        <v>4430</v>
      </c>
      <c r="E117" s="11">
        <v>3970</v>
      </c>
      <c r="F117" s="11">
        <v>2072</v>
      </c>
      <c r="G117" s="41">
        <f t="shared" si="25"/>
        <v>4719</v>
      </c>
      <c r="H117" s="41">
        <f t="shared" si="25"/>
        <v>4756</v>
      </c>
      <c r="I117" s="41">
        <f t="shared" si="25"/>
        <v>4430</v>
      </c>
      <c r="J117" s="41">
        <f t="shared" si="25"/>
        <v>3970</v>
      </c>
      <c r="K117" s="41">
        <f t="shared" si="25"/>
        <v>2072</v>
      </c>
      <c r="L117" s="12">
        <f>IFERROR(G117/'Income Statement'!B25,"")</f>
        <v>0.10326039387308535</v>
      </c>
      <c r="M117" s="12">
        <f>IFERROR(H117/'Income Statement'!C25,"")</f>
        <v>0.10762859535178439</v>
      </c>
      <c r="N117" s="12">
        <f>IFERROR(I117/'Income Statement'!D25,"")</f>
        <v>0.10172215843857635</v>
      </c>
      <c r="O117" s="12">
        <f>IFERROR(J117/'Income Statement'!E25,"")</f>
        <v>0.10776915141972963</v>
      </c>
      <c r="P117" s="12">
        <f>IFERROR(K117/'Income Statement'!F25,"")</f>
        <v>6.1047111163489584E-2</v>
      </c>
      <c r="Q117" s="12">
        <f t="shared" si="26"/>
        <v>9.6285482049333071E-2</v>
      </c>
      <c r="R117" s="14">
        <v>116</v>
      </c>
      <c r="S117" s="15" t="s">
        <v>480</v>
      </c>
      <c r="T117" s="16">
        <f>T116</f>
        <v>3931</v>
      </c>
      <c r="U117" s="16">
        <f>U116</f>
        <v>3931</v>
      </c>
      <c r="V117" s="16">
        <f>V116</f>
        <v>3931</v>
      </c>
      <c r="W117" s="16">
        <f>W116</f>
        <v>3931</v>
      </c>
      <c r="X117" s="16">
        <f>X116</f>
        <v>3931</v>
      </c>
    </row>
    <row r="118" spans="1:24" ht="15" customHeight="1" x14ac:dyDescent="0.2">
      <c r="A118" s="6" t="s">
        <v>481</v>
      </c>
      <c r="B118" s="11">
        <v>5300</v>
      </c>
      <c r="C118" s="11">
        <v>5357</v>
      </c>
      <c r="D118" s="11">
        <v>5604</v>
      </c>
      <c r="E118" s="11">
        <v>6023</v>
      </c>
      <c r="F118" s="11">
        <v>6136</v>
      </c>
      <c r="G118" s="41">
        <f t="shared" si="25"/>
        <v>5300</v>
      </c>
      <c r="H118" s="41">
        <f t="shared" si="25"/>
        <v>5357</v>
      </c>
      <c r="I118" s="41">
        <f t="shared" si="25"/>
        <v>5604</v>
      </c>
      <c r="J118" s="41">
        <f t="shared" si="25"/>
        <v>6023</v>
      </c>
      <c r="K118" s="41">
        <f t="shared" si="25"/>
        <v>6136</v>
      </c>
      <c r="L118" s="12">
        <f>IFERROR(G118/'Income Statement'!B25,"")</f>
        <v>0.11597374179431072</v>
      </c>
      <c r="M118" s="12">
        <f>IFERROR(H118/'Income Statement'!C25,"")</f>
        <v>0.12122926520174704</v>
      </c>
      <c r="N118" s="12">
        <f>IFERROR(I118/'Income Statement'!D25,"")</f>
        <v>0.12867967853042481</v>
      </c>
      <c r="O118" s="12">
        <f>IFERROR(J118/'Income Statement'!E25,"")</f>
        <v>0.1634996471035344</v>
      </c>
      <c r="P118" s="12">
        <f>IFERROR(K118/'Income Statement'!F25,"")</f>
        <v>0.18078430217141511</v>
      </c>
      <c r="Q118" s="12">
        <f t="shared" si="26"/>
        <v>0.14203332696028642</v>
      </c>
      <c r="R118" s="14" t="s">
        <v>287</v>
      </c>
      <c r="S118" s="15" t="s">
        <v>482</v>
      </c>
      <c r="T118" s="16">
        <f>ROUND(Q118*'Income Statement'!K25,0)</f>
        <v>7116</v>
      </c>
      <c r="U118" s="16">
        <f>ROUND(Q118*'Income Statement'!L25,0)</f>
        <v>7555</v>
      </c>
      <c r="V118" s="16">
        <f>ROUND(Q118*'Income Statement'!M25,0)</f>
        <v>7993</v>
      </c>
      <c r="W118" s="16">
        <f>ROUND(Q118*'Income Statement'!N25,0)</f>
        <v>8432</v>
      </c>
      <c r="X118" s="16">
        <f>ROUND(Q118*'Income Statement'!O25,0)</f>
        <v>8870</v>
      </c>
    </row>
    <row r="119" spans="1:24" ht="15" customHeight="1" x14ac:dyDescent="0.2">
      <c r="A119" s="6" t="s">
        <v>483</v>
      </c>
      <c r="B119" s="6"/>
      <c r="C119" s="6"/>
      <c r="D119" s="11">
        <v>0</v>
      </c>
      <c r="E119" s="11">
        <v>30</v>
      </c>
      <c r="F119" s="11">
        <v>2</v>
      </c>
      <c r="I119" s="41">
        <f t="shared" ref="I119:K124" si="27">D119</f>
        <v>0</v>
      </c>
      <c r="J119" s="41">
        <f t="shared" si="27"/>
        <v>30</v>
      </c>
      <c r="K119" s="41">
        <f t="shared" si="27"/>
        <v>2</v>
      </c>
      <c r="L119" s="12">
        <f>IFERROR(G119/'Income Statement'!B25,"")</f>
        <v>0</v>
      </c>
      <c r="M119" s="12">
        <f>IFERROR(H119/'Income Statement'!C25,"")</f>
        <v>0</v>
      </c>
      <c r="N119" s="12">
        <f>IFERROR(I119/'Income Statement'!D25,"")</f>
        <v>0</v>
      </c>
      <c r="O119" s="12">
        <f>IFERROR(J119/'Income Statement'!E25,"")</f>
        <v>8.1437645909115584E-4</v>
      </c>
      <c r="P119" s="12">
        <f>IFERROR(K119/'Income Statement'!F25,"")</f>
        <v>5.8925782976341297E-5</v>
      </c>
      <c r="Q119" s="12">
        <f t="shared" si="26"/>
        <v>1.7466044841349943E-4</v>
      </c>
      <c r="R119" s="14" t="s">
        <v>298</v>
      </c>
      <c r="S119" s="15"/>
    </row>
    <row r="120" spans="1:24" ht="15" customHeight="1" x14ac:dyDescent="0.2">
      <c r="A120" s="6" t="s">
        <v>484</v>
      </c>
      <c r="B120" s="11">
        <v>445</v>
      </c>
      <c r="C120" s="11">
        <v>383</v>
      </c>
      <c r="D120" s="11">
        <v>374</v>
      </c>
      <c r="E120" s="11">
        <v>374</v>
      </c>
      <c r="F120" s="11">
        <v>374</v>
      </c>
      <c r="G120" s="41">
        <f t="shared" ref="G120:H124" si="28">B120</f>
        <v>445</v>
      </c>
      <c r="H120" s="41">
        <f t="shared" si="28"/>
        <v>383</v>
      </c>
      <c r="I120" s="41">
        <f t="shared" si="27"/>
        <v>374</v>
      </c>
      <c r="J120" s="41">
        <f t="shared" si="27"/>
        <v>374</v>
      </c>
      <c r="K120" s="41">
        <f t="shared" si="27"/>
        <v>374</v>
      </c>
      <c r="L120" s="12">
        <f>IFERROR(G120/'Income Statement'!B25,"")</f>
        <v>9.7374179431072207E-3</v>
      </c>
      <c r="M120" s="12">
        <f>IFERROR(H120/'Income Statement'!C25,"")</f>
        <v>8.6673153952341077E-3</v>
      </c>
      <c r="N120" s="12">
        <f>IFERROR(I120/'Income Statement'!D25,"")</f>
        <v>8.5878300803673945E-3</v>
      </c>
      <c r="O120" s="12">
        <f>IFERROR(J120/'Income Statement'!E25,"")</f>
        <v>1.0152559856669744E-2</v>
      </c>
      <c r="P120" s="12">
        <f>IFERROR(K120/'Income Statement'!F25,"")</f>
        <v>1.1019121416575822E-2</v>
      </c>
      <c r="Q120" s="12">
        <f t="shared" si="26"/>
        <v>9.6328489383908575E-3</v>
      </c>
      <c r="R120" s="14" t="s">
        <v>485</v>
      </c>
      <c r="S120" s="15" t="s">
        <v>486</v>
      </c>
      <c r="T120" s="16">
        <f>T121+T125</f>
        <v>483</v>
      </c>
      <c r="U120" s="16">
        <f>U121+U125</f>
        <v>512</v>
      </c>
      <c r="V120" s="16">
        <f>V121+V125</f>
        <v>542</v>
      </c>
      <c r="W120" s="16">
        <f>W121+W125</f>
        <v>572</v>
      </c>
      <c r="X120" s="16">
        <f>X121+X125</f>
        <v>601</v>
      </c>
    </row>
    <row r="121" spans="1:24" ht="15" customHeight="1" x14ac:dyDescent="0.2">
      <c r="A121" s="6" t="s">
        <v>487</v>
      </c>
      <c r="B121" s="11">
        <v>414</v>
      </c>
      <c r="C121" s="11">
        <v>383</v>
      </c>
      <c r="D121" s="11">
        <v>374</v>
      </c>
      <c r="E121" s="11">
        <v>374</v>
      </c>
      <c r="F121" s="11">
        <v>374</v>
      </c>
      <c r="G121" s="41">
        <f t="shared" si="28"/>
        <v>414</v>
      </c>
      <c r="H121" s="41">
        <f t="shared" si="28"/>
        <v>383</v>
      </c>
      <c r="I121" s="41">
        <f t="shared" si="27"/>
        <v>374</v>
      </c>
      <c r="J121" s="41">
        <f t="shared" si="27"/>
        <v>374</v>
      </c>
      <c r="K121" s="41">
        <f t="shared" si="27"/>
        <v>374</v>
      </c>
      <c r="L121" s="12">
        <f>IFERROR(G121/'Income Statement'!B25,"")</f>
        <v>9.0590809628008761E-3</v>
      </c>
      <c r="M121" s="12">
        <f>IFERROR(H121/'Income Statement'!C25,"")</f>
        <v>8.6673153952341077E-3</v>
      </c>
      <c r="N121" s="12">
        <f>IFERROR(I121/'Income Statement'!D25,"")</f>
        <v>8.5878300803673945E-3</v>
      </c>
      <c r="O121" s="12">
        <f>IFERROR(J121/'Income Statement'!E25,"")</f>
        <v>1.0152559856669744E-2</v>
      </c>
      <c r="P121" s="12">
        <f>IFERROR(K121/'Income Statement'!F25,"")</f>
        <v>1.1019121416575822E-2</v>
      </c>
      <c r="Q121" s="12">
        <f t="shared" si="26"/>
        <v>9.4971815423295879E-3</v>
      </c>
      <c r="R121" s="14" t="s">
        <v>488</v>
      </c>
      <c r="S121" s="15" t="s">
        <v>489</v>
      </c>
      <c r="T121" s="16">
        <f>T122+T123+T124</f>
        <v>476</v>
      </c>
      <c r="U121" s="16">
        <f>U122+U123+U124</f>
        <v>505</v>
      </c>
      <c r="V121" s="16">
        <f>V122+V123+V124</f>
        <v>534</v>
      </c>
      <c r="W121" s="16">
        <f>W122+W123+W124</f>
        <v>564</v>
      </c>
      <c r="X121" s="16">
        <f>X122+X123+X124</f>
        <v>593</v>
      </c>
    </row>
    <row r="122" spans="1:24" ht="15" customHeight="1" x14ac:dyDescent="0.2">
      <c r="A122" s="6" t="s">
        <v>490</v>
      </c>
      <c r="B122" s="11">
        <v>112</v>
      </c>
      <c r="C122" s="11">
        <v>94</v>
      </c>
      <c r="D122" s="11">
        <v>101</v>
      </c>
      <c r="E122" s="11">
        <v>110</v>
      </c>
      <c r="F122" s="11">
        <v>105</v>
      </c>
      <c r="G122" s="41">
        <f t="shared" si="28"/>
        <v>112</v>
      </c>
      <c r="H122" s="41">
        <f t="shared" si="28"/>
        <v>94</v>
      </c>
      <c r="I122" s="41">
        <f t="shared" si="27"/>
        <v>101</v>
      </c>
      <c r="J122" s="41">
        <f t="shared" si="27"/>
        <v>110</v>
      </c>
      <c r="K122" s="41">
        <f t="shared" si="27"/>
        <v>105</v>
      </c>
      <c r="L122" s="12">
        <f>IFERROR(G122/'Income Statement'!B25,"")</f>
        <v>2.4507658643326039E-3</v>
      </c>
      <c r="M122" s="12">
        <f>IFERROR(H122/'Income Statement'!C25,"")</f>
        <v>2.127226232772862E-3</v>
      </c>
      <c r="N122" s="12">
        <f>IFERROR(I122/'Income Statement'!D25,"")</f>
        <v>2.3191733639494833E-3</v>
      </c>
      <c r="O122" s="12">
        <f>IFERROR(J122/'Income Statement'!E25,"")</f>
        <v>2.9860470166675713E-3</v>
      </c>
      <c r="P122" s="12">
        <f>IFERROR(K122/'Income Statement'!F25,"")</f>
        <v>3.0936036062579183E-3</v>
      </c>
      <c r="Q122" s="12">
        <f t="shared" si="26"/>
        <v>2.5953632167960879E-3</v>
      </c>
      <c r="R122" s="14" t="s">
        <v>287</v>
      </c>
      <c r="S122" s="15" t="s">
        <v>491</v>
      </c>
      <c r="T122" s="16">
        <f>ROUND(Q122*'Income Statement'!K25,0)</f>
        <v>130</v>
      </c>
      <c r="U122" s="16">
        <f>ROUND(Q122*'Income Statement'!L25,0)</f>
        <v>138</v>
      </c>
      <c r="V122" s="16">
        <f>ROUND(Q122*'Income Statement'!M25,0)</f>
        <v>146</v>
      </c>
      <c r="W122" s="16">
        <f>ROUND(Q122*'Income Statement'!N25,0)</f>
        <v>154</v>
      </c>
      <c r="X122" s="16">
        <f>ROUND(Q122*'Income Statement'!O25,0)</f>
        <v>162</v>
      </c>
    </row>
    <row r="123" spans="1:24" ht="15" customHeight="1" x14ac:dyDescent="0.2">
      <c r="A123" s="6" t="s">
        <v>492</v>
      </c>
      <c r="B123" s="11">
        <v>164</v>
      </c>
      <c r="C123" s="11">
        <v>168</v>
      </c>
      <c r="D123" s="11">
        <v>161</v>
      </c>
      <c r="E123" s="11">
        <v>154</v>
      </c>
      <c r="F123" s="11">
        <v>148</v>
      </c>
      <c r="G123" s="41">
        <f t="shared" si="28"/>
        <v>164</v>
      </c>
      <c r="H123" s="41">
        <f t="shared" si="28"/>
        <v>168</v>
      </c>
      <c r="I123" s="41">
        <f t="shared" si="27"/>
        <v>161</v>
      </c>
      <c r="J123" s="41">
        <f t="shared" si="27"/>
        <v>154</v>
      </c>
      <c r="K123" s="41">
        <f t="shared" si="27"/>
        <v>148</v>
      </c>
      <c r="L123" s="12">
        <f>IFERROR(G123/'Income Statement'!B25,"")</f>
        <v>3.5886214442013131E-3</v>
      </c>
      <c r="M123" s="12">
        <f>IFERROR(H123/'Income Statement'!C25,"")</f>
        <v>3.8018511394238385E-3</v>
      </c>
      <c r="N123" s="12">
        <f>IFERROR(I123/'Income Statement'!D25,"")</f>
        <v>3.6969001148105625E-3</v>
      </c>
      <c r="O123" s="12">
        <f>IFERROR(J123/'Income Statement'!E25,"")</f>
        <v>4.1804658233346005E-3</v>
      </c>
      <c r="P123" s="12">
        <f>IFERROR(K123/'Income Statement'!F25,"")</f>
        <v>4.3605079402492556E-3</v>
      </c>
      <c r="Q123" s="12">
        <f t="shared" si="26"/>
        <v>3.9256692924039141E-3</v>
      </c>
      <c r="R123" s="14" t="s">
        <v>287</v>
      </c>
      <c r="S123" s="15" t="s">
        <v>493</v>
      </c>
      <c r="T123" s="16">
        <f>ROUND(Q123*'Income Statement'!K25,0)</f>
        <v>197</v>
      </c>
      <c r="U123" s="16">
        <f>ROUND(Q123*'Income Statement'!L25,0)</f>
        <v>209</v>
      </c>
      <c r="V123" s="16">
        <f>ROUND(Q123*'Income Statement'!M25,0)</f>
        <v>221</v>
      </c>
      <c r="W123" s="16">
        <f>ROUND(Q123*'Income Statement'!N25,0)</f>
        <v>233</v>
      </c>
      <c r="X123" s="16">
        <f>ROUND(Q123*'Income Statement'!O25,0)</f>
        <v>245</v>
      </c>
    </row>
    <row r="124" spans="1:24" ht="15" customHeight="1" x14ac:dyDescent="0.2">
      <c r="A124" s="6" t="s">
        <v>494</v>
      </c>
      <c r="B124" s="11">
        <v>138</v>
      </c>
      <c r="C124" s="11">
        <v>121</v>
      </c>
      <c r="D124" s="11">
        <v>112</v>
      </c>
      <c r="E124" s="11">
        <v>110</v>
      </c>
      <c r="F124" s="11">
        <v>121</v>
      </c>
      <c r="G124" s="41">
        <f t="shared" si="28"/>
        <v>138</v>
      </c>
      <c r="H124" s="41">
        <f t="shared" si="28"/>
        <v>121</v>
      </c>
      <c r="I124" s="41">
        <f t="shared" si="27"/>
        <v>112</v>
      </c>
      <c r="J124" s="41">
        <f t="shared" si="27"/>
        <v>110</v>
      </c>
      <c r="K124" s="41">
        <f t="shared" si="27"/>
        <v>121</v>
      </c>
      <c r="L124" s="12">
        <f>IFERROR(G124/'Income Statement'!B25,"")</f>
        <v>3.0196936542669583E-3</v>
      </c>
      <c r="M124" s="12">
        <f>IFERROR(H124/'Income Statement'!C25,"")</f>
        <v>2.7382380230374075E-3</v>
      </c>
      <c r="N124" s="12">
        <f>IFERROR(I124/'Income Statement'!D25,"")</f>
        <v>2.5717566016073478E-3</v>
      </c>
      <c r="O124" s="12">
        <f>IFERROR(J124/'Income Statement'!E25,"")</f>
        <v>2.9860470166675713E-3</v>
      </c>
      <c r="P124" s="12">
        <f>IFERROR(K124/'Income Statement'!F25,"")</f>
        <v>3.5650098700686487E-3</v>
      </c>
      <c r="Q124" s="12">
        <f t="shared" si="26"/>
        <v>2.9761490331295872E-3</v>
      </c>
      <c r="R124" s="14" t="s">
        <v>287</v>
      </c>
      <c r="S124" s="15" t="s">
        <v>495</v>
      </c>
      <c r="T124" s="16">
        <f>ROUND(Q124*'Income Statement'!K25,0)</f>
        <v>149</v>
      </c>
      <c r="U124" s="16">
        <f>ROUND(Q124*'Income Statement'!L25,0)</f>
        <v>158</v>
      </c>
      <c r="V124" s="16">
        <f>ROUND(Q124*'Income Statement'!M25,0)</f>
        <v>167</v>
      </c>
      <c r="W124" s="16">
        <f>ROUND(Q124*'Income Statement'!N25,0)</f>
        <v>177</v>
      </c>
      <c r="X124" s="16">
        <f>ROUND(Q124*'Income Statement'!O25,0)</f>
        <v>186</v>
      </c>
    </row>
    <row r="125" spans="1:24" ht="15" customHeight="1" x14ac:dyDescent="0.2">
      <c r="A125" s="6" t="s">
        <v>496</v>
      </c>
      <c r="B125" s="11">
        <v>31</v>
      </c>
      <c r="C125" s="6"/>
      <c r="D125" s="6"/>
      <c r="E125" s="6"/>
      <c r="F125" s="11">
        <v>0</v>
      </c>
      <c r="G125" s="41">
        <f>B125</f>
        <v>31</v>
      </c>
      <c r="K125" s="41">
        <f>F125</f>
        <v>0</v>
      </c>
      <c r="L125" s="12">
        <f>IFERROR(G125/'Income Statement'!B25,"")</f>
        <v>6.7833698030634573E-4</v>
      </c>
      <c r="M125" s="12">
        <f>IFERROR(H125/'Income Statement'!C25,"")</f>
        <v>0</v>
      </c>
      <c r="N125" s="12">
        <f>IFERROR(I125/'Income Statement'!D25,"")</f>
        <v>0</v>
      </c>
      <c r="O125" s="12">
        <f>IFERROR(J125/'Income Statement'!E25,"")</f>
        <v>0</v>
      </c>
      <c r="P125" s="12">
        <f>IFERROR(K125/'Income Statement'!F25,"")</f>
        <v>0</v>
      </c>
      <c r="Q125" s="12">
        <f t="shared" si="26"/>
        <v>1.3566739606126914E-4</v>
      </c>
      <c r="R125" s="14" t="s">
        <v>287</v>
      </c>
      <c r="S125" s="15" t="s">
        <v>497</v>
      </c>
      <c r="T125" s="16">
        <f>ROUND(Q125*'Income Statement'!K25,0)</f>
        <v>7</v>
      </c>
      <c r="U125" s="16">
        <f>ROUND(Q125*'Income Statement'!L25,0)</f>
        <v>7</v>
      </c>
      <c r="V125" s="16">
        <f>ROUND(Q125*'Income Statement'!M25,0)</f>
        <v>8</v>
      </c>
      <c r="W125" s="16">
        <f>ROUND(Q125*'Income Statement'!N25,0)</f>
        <v>8</v>
      </c>
      <c r="X125" s="16">
        <f>ROUND(Q125*'Income Statement'!O25,0)</f>
        <v>8</v>
      </c>
    </row>
    <row r="126" spans="1:24" ht="15" customHeight="1" x14ac:dyDescent="0.2">
      <c r="A126" s="17" t="s">
        <v>498</v>
      </c>
      <c r="B126" s="18">
        <f t="shared" ref="B126:K126" si="29">B115+B119+B120</f>
        <v>10464</v>
      </c>
      <c r="C126" s="18">
        <f t="shared" si="29"/>
        <v>10496</v>
      </c>
      <c r="D126" s="18">
        <f t="shared" si="29"/>
        <v>10408</v>
      </c>
      <c r="E126" s="18">
        <f t="shared" si="29"/>
        <v>10397</v>
      </c>
      <c r="F126" s="18">
        <f t="shared" si="29"/>
        <v>8584</v>
      </c>
      <c r="G126">
        <f t="shared" si="29"/>
        <v>10464</v>
      </c>
      <c r="H126">
        <f t="shared" si="29"/>
        <v>10496</v>
      </c>
      <c r="I126">
        <f t="shared" si="29"/>
        <v>10408</v>
      </c>
      <c r="J126">
        <f t="shared" si="29"/>
        <v>10397</v>
      </c>
      <c r="K126">
        <f t="shared" si="29"/>
        <v>8584</v>
      </c>
      <c r="L126" s="12">
        <f>IFERROR(G126/'Income Statement'!B25,"")</f>
        <v>0.22897155361050328</v>
      </c>
      <c r="M126" s="12">
        <f>IFERROR(H126/'Income Statement'!C25,"")</f>
        <v>0.23752517594876554</v>
      </c>
      <c r="N126" s="12">
        <f>IFERROR(I126/'Income Statement'!D25,"")</f>
        <v>0.23898966704936855</v>
      </c>
      <c r="O126" s="12">
        <f>IFERROR(J126/'Income Statement'!E25,"")</f>
        <v>0.28223573483902492</v>
      </c>
      <c r="P126" s="12">
        <f>IFERROR(K126/'Income Statement'!F25,"")</f>
        <v>0.25290946053445684</v>
      </c>
      <c r="Q126" s="12">
        <f t="shared" si="26"/>
        <v>0.24812631839642382</v>
      </c>
      <c r="R126" s="14" t="s">
        <v>499</v>
      </c>
      <c r="S126" s="15" t="s">
        <v>500</v>
      </c>
      <c r="T126" s="43">
        <f>T115+T120</f>
        <v>11530</v>
      </c>
      <c r="U126" s="43">
        <f>U115+U120</f>
        <v>11998</v>
      </c>
      <c r="V126" s="43">
        <f>V115+V120</f>
        <v>12466</v>
      </c>
      <c r="W126" s="43">
        <f>W115+W120</f>
        <v>12935</v>
      </c>
      <c r="X126" s="43">
        <f>X115+X120</f>
        <v>13402</v>
      </c>
    </row>
    <row r="127" spans="1:24" ht="15" customHeight="1" x14ac:dyDescent="0.2">
      <c r="A127" s="5" t="s">
        <v>501</v>
      </c>
      <c r="B127" s="5"/>
      <c r="C127" s="5"/>
      <c r="D127" s="5"/>
      <c r="E127" s="5"/>
      <c r="F127" s="5"/>
      <c r="R127" s="10"/>
      <c r="S127" s="10"/>
    </row>
    <row r="128" spans="1:24" ht="15" customHeight="1" x14ac:dyDescent="0.2">
      <c r="A128" s="17" t="s">
        <v>501</v>
      </c>
      <c r="B128" s="18">
        <f t="shared" ref="B128:K128" si="30">B113+B126</f>
        <v>18792</v>
      </c>
      <c r="C128" s="18">
        <f t="shared" si="30"/>
        <v>18724</v>
      </c>
      <c r="D128" s="18">
        <f t="shared" si="30"/>
        <v>18265</v>
      </c>
      <c r="E128" s="18">
        <f t="shared" si="30"/>
        <v>19305</v>
      </c>
      <c r="F128" s="18">
        <f t="shared" si="30"/>
        <v>16499</v>
      </c>
      <c r="G128">
        <f t="shared" si="30"/>
        <v>18792</v>
      </c>
      <c r="H128">
        <f t="shared" si="30"/>
        <v>18724</v>
      </c>
      <c r="I128">
        <f t="shared" si="30"/>
        <v>18265</v>
      </c>
      <c r="J128">
        <f t="shared" si="30"/>
        <v>19305</v>
      </c>
      <c r="K128">
        <f t="shared" si="30"/>
        <v>16499</v>
      </c>
      <c r="L128" s="12">
        <f>IFERROR(G128/'Income Statement'!B25,"")</f>
        <v>0.41120350109409193</v>
      </c>
      <c r="M128" s="12">
        <f>IFERROR(H128/'Income Statement'!C25,"")</f>
        <v>0.42372536151530926</v>
      </c>
      <c r="N128" s="12">
        <f>IFERROR(I128/'Income Statement'!D25,"")</f>
        <v>0.41940298507462687</v>
      </c>
      <c r="O128" s="12">
        <f>IFERROR(J128/'Income Statement'!E25,"")</f>
        <v>0.52405125142515885</v>
      </c>
      <c r="P128" s="12">
        <f>IFERROR(K128/'Income Statement'!F25,"")</f>
        <v>0.48610824666332753</v>
      </c>
      <c r="Q128" s="12">
        <f>IFERROR(AVERAGE(L128:P128),"")</f>
        <v>0.45289826915450282</v>
      </c>
      <c r="R128" s="14" t="s">
        <v>502</v>
      </c>
      <c r="S128" s="15" t="s">
        <v>503</v>
      </c>
      <c r="T128" s="43">
        <f>T113+T126</f>
        <v>21790</v>
      </c>
      <c r="U128" s="43">
        <f>U113+U126</f>
        <v>22890</v>
      </c>
      <c r="V128" s="43">
        <f>V113+V126</f>
        <v>23990</v>
      </c>
      <c r="W128" s="43">
        <f>W113+W126</f>
        <v>25091</v>
      </c>
      <c r="X128" s="43">
        <f>X113+X126</f>
        <v>26191</v>
      </c>
    </row>
    <row r="129" spans="1:24" ht="15" customHeight="1" x14ac:dyDescent="0.2">
      <c r="A129" s="5" t="s">
        <v>504</v>
      </c>
      <c r="B129" s="5"/>
      <c r="C129" s="5"/>
      <c r="D129" s="5"/>
      <c r="E129" s="5"/>
      <c r="F129" s="5"/>
      <c r="R129" s="10"/>
      <c r="S129" s="10"/>
    </row>
    <row r="130" spans="1:24" ht="15" customHeight="1" x14ac:dyDescent="0.2">
      <c r="A130" s="17" t="s">
        <v>505</v>
      </c>
      <c r="B130" s="18">
        <f t="shared" ref="B130:K130" si="31">B142</f>
        <v>9189</v>
      </c>
      <c r="C130" s="18">
        <f t="shared" si="31"/>
        <v>8585</v>
      </c>
      <c r="D130" s="18">
        <f t="shared" si="31"/>
        <v>8281</v>
      </c>
      <c r="E130" s="18">
        <f t="shared" si="31"/>
        <v>7981</v>
      </c>
      <c r="F130" s="18">
        <f t="shared" si="31"/>
        <v>9715</v>
      </c>
      <c r="G130">
        <f t="shared" si="31"/>
        <v>5070</v>
      </c>
      <c r="H130">
        <f t="shared" si="31"/>
        <v>4356</v>
      </c>
      <c r="I130">
        <f t="shared" si="31"/>
        <v>4305</v>
      </c>
      <c r="J130">
        <f t="shared" si="31"/>
        <v>4063</v>
      </c>
      <c r="K130">
        <f t="shared" si="31"/>
        <v>6135</v>
      </c>
      <c r="L130" s="12">
        <f>IFERROR(G130/'Income Statement'!B25,"")</f>
        <v>0.11094091903719913</v>
      </c>
      <c r="M130" s="12">
        <f>IFERROR(H130/'Income Statement'!C25,"")</f>
        <v>9.8576568829346664E-2</v>
      </c>
      <c r="N130" s="12">
        <f>IFERROR(I130/'Income Statement'!D25,"")</f>
        <v>9.8851894374282434E-2</v>
      </c>
      <c r="O130" s="12">
        <f>IFERROR(J130/'Income Statement'!E25,"")</f>
        <v>0.11029371844291221</v>
      </c>
      <c r="P130" s="12">
        <f>IFERROR(K130/'Income Statement'!F25,"")</f>
        <v>0.18075483927992694</v>
      </c>
      <c r="Q130" s="12">
        <f t="shared" ref="Q130:Q142" si="32">IFERROR(AVERAGE(L130:P130),"")</f>
        <v>0.11988358799273346</v>
      </c>
      <c r="R130" s="14">
        <v>142</v>
      </c>
      <c r="S130" s="15" t="s">
        <v>506</v>
      </c>
      <c r="T130" s="16">
        <f>T142</f>
        <v>5437</v>
      </c>
      <c r="U130" s="16">
        <f>U142</f>
        <v>5835</v>
      </c>
      <c r="V130" s="16">
        <f>V142</f>
        <v>6259</v>
      </c>
      <c r="W130" s="16">
        <f>W142</f>
        <v>6707</v>
      </c>
      <c r="X130" s="16">
        <f>X142</f>
        <v>7180</v>
      </c>
    </row>
    <row r="131" spans="1:24" ht="15" customHeight="1" x14ac:dyDescent="0.2">
      <c r="A131" s="6" t="s">
        <v>507</v>
      </c>
      <c r="B131" s="11">
        <v>9189</v>
      </c>
      <c r="C131" s="11">
        <v>8585</v>
      </c>
      <c r="D131" s="11">
        <v>8281</v>
      </c>
      <c r="E131" s="11">
        <v>7981</v>
      </c>
      <c r="F131" s="11">
        <v>9715</v>
      </c>
      <c r="G131" s="41">
        <f t="shared" ref="G131:K135" si="33">B131</f>
        <v>9189</v>
      </c>
      <c r="H131" s="41">
        <f t="shared" si="33"/>
        <v>8585</v>
      </c>
      <c r="I131" s="41">
        <f t="shared" si="33"/>
        <v>8281</v>
      </c>
      <c r="J131" s="41">
        <f t="shared" si="33"/>
        <v>7981</v>
      </c>
      <c r="K131" s="41">
        <f t="shared" si="33"/>
        <v>9715</v>
      </c>
      <c r="L131" s="12">
        <f>IFERROR(G131/'Income Statement'!B25,"")</f>
        <v>0.20107221006564552</v>
      </c>
      <c r="M131" s="12">
        <f>IFERROR(H131/'Income Statement'!C25,"")</f>
        <v>0.19427911923781938</v>
      </c>
      <c r="N131" s="12">
        <f>IFERROR(I131/'Income Statement'!D25,"")</f>
        <v>0.19014925373134328</v>
      </c>
      <c r="O131" s="12">
        <f>IFERROR(J131/'Income Statement'!E25,"")</f>
        <v>0.21665128400021716</v>
      </c>
      <c r="P131" s="12">
        <f>IFERROR(K131/'Income Statement'!F25,"")</f>
        <v>0.28623199080757783</v>
      </c>
      <c r="Q131" s="12">
        <f t="shared" si="32"/>
        <v>0.21767677156852061</v>
      </c>
      <c r="R131" s="14">
        <v>142</v>
      </c>
      <c r="S131" s="15" t="s">
        <v>508</v>
      </c>
      <c r="T131" s="16">
        <f>T142</f>
        <v>5437</v>
      </c>
      <c r="U131" s="16">
        <f>U142</f>
        <v>5835</v>
      </c>
      <c r="V131" s="16">
        <f>V142</f>
        <v>6259</v>
      </c>
      <c r="W131" s="16">
        <f>W142</f>
        <v>6707</v>
      </c>
      <c r="X131" s="16">
        <f>X142</f>
        <v>7180</v>
      </c>
    </row>
    <row r="132" spans="1:24" ht="15" customHeight="1" x14ac:dyDescent="0.2">
      <c r="A132" s="6" t="s">
        <v>509</v>
      </c>
      <c r="B132" s="11">
        <v>102</v>
      </c>
      <c r="C132" s="11">
        <v>102</v>
      </c>
      <c r="D132" s="11">
        <v>102</v>
      </c>
      <c r="E132" s="11">
        <v>102</v>
      </c>
      <c r="F132" s="11">
        <v>102</v>
      </c>
      <c r="G132" s="41">
        <f t="shared" si="33"/>
        <v>102</v>
      </c>
      <c r="H132" s="41">
        <f t="shared" si="33"/>
        <v>102</v>
      </c>
      <c r="I132" s="41">
        <f t="shared" si="33"/>
        <v>102</v>
      </c>
      <c r="J132" s="41">
        <f t="shared" si="33"/>
        <v>102</v>
      </c>
      <c r="K132" s="41">
        <f t="shared" si="33"/>
        <v>102</v>
      </c>
      <c r="L132" s="12">
        <f>IFERROR(G132/'Income Statement'!B25,"")</f>
        <v>2.2319474835886216E-3</v>
      </c>
      <c r="M132" s="12">
        <f>IFERROR(H132/'Income Statement'!C25,"")</f>
        <v>2.3082667632216163E-3</v>
      </c>
      <c r="N132" s="12">
        <f>IFERROR(I132/'Income Statement'!D25,"")</f>
        <v>2.3421354764638345E-3</v>
      </c>
      <c r="O132" s="12">
        <f>IFERROR(J132/'Income Statement'!E25,"")</f>
        <v>2.7688799609099299E-3</v>
      </c>
      <c r="P132" s="12">
        <f>IFERROR(K132/'Income Statement'!F25,"")</f>
        <v>3.0052149317934063E-3</v>
      </c>
      <c r="Q132" s="12">
        <f t="shared" si="32"/>
        <v>2.5312889231954815E-3</v>
      </c>
      <c r="R132" s="14" t="s">
        <v>510</v>
      </c>
      <c r="S132" s="15" t="s">
        <v>511</v>
      </c>
      <c r="T132" s="24">
        <v>102</v>
      </c>
      <c r="U132" s="24">
        <v>102</v>
      </c>
      <c r="V132" s="24">
        <v>102</v>
      </c>
      <c r="W132" s="24">
        <v>102</v>
      </c>
      <c r="X132" s="24">
        <v>102</v>
      </c>
    </row>
    <row r="133" spans="1:24" ht="15" customHeight="1" x14ac:dyDescent="0.2">
      <c r="A133" s="6" t="s">
        <v>512</v>
      </c>
      <c r="B133" s="11">
        <v>13656</v>
      </c>
      <c r="C133" s="11">
        <v>13639</v>
      </c>
      <c r="D133" s="11">
        <v>13628</v>
      </c>
      <c r="E133" s="11">
        <v>13614</v>
      </c>
      <c r="F133" s="11">
        <v>15868</v>
      </c>
      <c r="G133" s="41">
        <f t="shared" si="33"/>
        <v>13656</v>
      </c>
      <c r="H133" s="41">
        <f t="shared" si="33"/>
        <v>13639</v>
      </c>
      <c r="I133" s="41">
        <f t="shared" si="33"/>
        <v>13628</v>
      </c>
      <c r="J133" s="41">
        <f t="shared" si="33"/>
        <v>13614</v>
      </c>
      <c r="K133" s="41">
        <f t="shared" si="33"/>
        <v>15868</v>
      </c>
      <c r="L133" s="12">
        <f>IFERROR(G133/'Income Statement'!B25,"")</f>
        <v>0.29881838074398248</v>
      </c>
      <c r="M133" s="12">
        <f>IFERROR(H133/'Income Statement'!C25,"")</f>
        <v>0.30865147434881984</v>
      </c>
      <c r="N133" s="12">
        <f>IFERROR(I133/'Income Statement'!D25,"")</f>
        <v>0.31292766934557981</v>
      </c>
      <c r="O133" s="12">
        <f>IFERROR(J133/'Income Statement'!E25,"")</f>
        <v>0.36956403713556651</v>
      </c>
      <c r="P133" s="12">
        <f>IFERROR(K133/'Income Statement'!F25,"")</f>
        <v>0.46751716213429184</v>
      </c>
      <c r="Q133" s="12">
        <f t="shared" si="32"/>
        <v>0.35149574474164808</v>
      </c>
      <c r="R133" s="14" t="s">
        <v>513</v>
      </c>
      <c r="S133" s="15" t="s">
        <v>514</v>
      </c>
      <c r="T133" s="16">
        <f>T134+T135</f>
        <v>13656</v>
      </c>
      <c r="U133" s="16">
        <f>U134+U135</f>
        <v>13656</v>
      </c>
      <c r="V133" s="16">
        <f>V134+V135</f>
        <v>13656</v>
      </c>
      <c r="W133" s="16">
        <f>W134+W135</f>
        <v>13656</v>
      </c>
      <c r="X133" s="16">
        <f>X134+X135</f>
        <v>13656</v>
      </c>
    </row>
    <row r="134" spans="1:24" ht="15" customHeight="1" x14ac:dyDescent="0.2">
      <c r="A134" s="6" t="s">
        <v>515</v>
      </c>
      <c r="B134" s="11">
        <v>13574</v>
      </c>
      <c r="C134" s="11">
        <v>13574</v>
      </c>
      <c r="D134" s="11">
        <v>13574</v>
      </c>
      <c r="E134" s="11">
        <v>13574</v>
      </c>
      <c r="F134" s="11">
        <v>15826</v>
      </c>
      <c r="G134" s="41">
        <f t="shared" si="33"/>
        <v>13574</v>
      </c>
      <c r="H134" s="41">
        <f t="shared" si="33"/>
        <v>13574</v>
      </c>
      <c r="I134" s="41">
        <f t="shared" si="33"/>
        <v>13574</v>
      </c>
      <c r="J134" s="41">
        <f t="shared" si="33"/>
        <v>13574</v>
      </c>
      <c r="K134" s="41">
        <f t="shared" si="33"/>
        <v>15826</v>
      </c>
      <c r="L134" s="12">
        <f>IFERROR(G134/'Income Statement'!B25,"")</f>
        <v>0.29702407002188186</v>
      </c>
      <c r="M134" s="12">
        <f>IFERROR(H134/'Income Statement'!C25,"")</f>
        <v>0.30718052003892371</v>
      </c>
      <c r="N134" s="12">
        <f>IFERROR(I134/'Income Statement'!D25,"")</f>
        <v>0.31168771526980482</v>
      </c>
      <c r="O134" s="12">
        <f>IFERROR(J134/'Income Statement'!E25,"")</f>
        <v>0.36847820185677832</v>
      </c>
      <c r="P134" s="12">
        <f>IFERROR(K134/'Income Statement'!F25,"")</f>
        <v>0.46627972069178869</v>
      </c>
      <c r="Q134" s="12">
        <f t="shared" si="32"/>
        <v>0.35013004557583544</v>
      </c>
      <c r="R134" s="14" t="s">
        <v>516</v>
      </c>
      <c r="S134" s="15" t="s">
        <v>517</v>
      </c>
      <c r="T134" s="24">
        <v>13574</v>
      </c>
      <c r="U134" s="24">
        <v>13574</v>
      </c>
      <c r="V134" s="24">
        <v>13574</v>
      </c>
      <c r="W134" s="24">
        <v>13574</v>
      </c>
      <c r="X134" s="24">
        <v>13574</v>
      </c>
    </row>
    <row r="135" spans="1:24" ht="15" customHeight="1" x14ac:dyDescent="0.2">
      <c r="A135" s="6" t="s">
        <v>518</v>
      </c>
      <c r="B135" s="11">
        <v>82</v>
      </c>
      <c r="C135" s="11">
        <v>65</v>
      </c>
      <c r="D135" s="11">
        <v>54</v>
      </c>
      <c r="E135" s="11">
        <v>40</v>
      </c>
      <c r="F135" s="11">
        <v>42</v>
      </c>
      <c r="G135" s="41">
        <f t="shared" si="33"/>
        <v>82</v>
      </c>
      <c r="H135" s="41">
        <f t="shared" si="33"/>
        <v>65</v>
      </c>
      <c r="I135" s="41">
        <f t="shared" si="33"/>
        <v>54</v>
      </c>
      <c r="J135" s="41">
        <f t="shared" si="33"/>
        <v>40</v>
      </c>
      <c r="K135" s="41">
        <f t="shared" si="33"/>
        <v>42</v>
      </c>
      <c r="L135" s="12">
        <f>IFERROR(G135/'Income Statement'!B25,"")</f>
        <v>1.7943107221006565E-3</v>
      </c>
      <c r="M135" s="12">
        <f>IFERROR(H135/'Income Statement'!C25,"")</f>
        <v>1.4709543098961281E-3</v>
      </c>
      <c r="N135" s="12">
        <f>IFERROR(I135/'Income Statement'!D25,"")</f>
        <v>1.2399540757749713E-3</v>
      </c>
      <c r="O135" s="12">
        <f>IFERROR(J135/'Income Statement'!E25,"")</f>
        <v>1.0858352787882079E-3</v>
      </c>
      <c r="P135" s="12">
        <f>IFERROR(K135/'Income Statement'!F25,"")</f>
        <v>1.2374414425031673E-3</v>
      </c>
      <c r="Q135" s="12">
        <f t="shared" si="32"/>
        <v>1.3656991658126262E-3</v>
      </c>
      <c r="R135" s="14" t="s">
        <v>287</v>
      </c>
      <c r="S135" s="15" t="s">
        <v>519</v>
      </c>
      <c r="T135" s="16">
        <f>$G$135</f>
        <v>82</v>
      </c>
      <c r="U135" s="16">
        <f>$G$135</f>
        <v>82</v>
      </c>
      <c r="V135" s="16">
        <f>$G$135</f>
        <v>82</v>
      </c>
      <c r="W135" s="16">
        <f>$G$135</f>
        <v>82</v>
      </c>
      <c r="X135" s="16">
        <f>$G$135</f>
        <v>82</v>
      </c>
    </row>
    <row r="136" spans="1:24" ht="15" customHeight="1" x14ac:dyDescent="0.2">
      <c r="A136" s="6" t="s">
        <v>520</v>
      </c>
      <c r="B136" s="11">
        <v>-4365</v>
      </c>
      <c r="C136" s="11">
        <v>-4952</v>
      </c>
      <c r="D136" s="11">
        <v>-5245</v>
      </c>
      <c r="E136" s="11">
        <v>-5531</v>
      </c>
      <c r="F136" s="11">
        <v>-6051</v>
      </c>
      <c r="G136">
        <f>G137+G138</f>
        <v>-8484</v>
      </c>
      <c r="H136">
        <f>H137+H138</f>
        <v>-9181</v>
      </c>
      <c r="I136">
        <f>I137+I138</f>
        <v>-9221</v>
      </c>
      <c r="J136">
        <f>J137+J138</f>
        <v>-9449</v>
      </c>
      <c r="K136">
        <f>K137+K138</f>
        <v>-9631</v>
      </c>
      <c r="L136" s="12">
        <f>IFERROR(G136/'Income Statement'!B25,"")</f>
        <v>-0.18564551422319475</v>
      </c>
      <c r="M136" s="12">
        <f>IFERROR(H136/'Income Statement'!C25,"")</f>
        <v>-0.20776663875625156</v>
      </c>
      <c r="N136" s="12">
        <f>IFERROR(I136/'Income Statement'!D25,"")</f>
        <v>-0.21173363949483354</v>
      </c>
      <c r="O136" s="12">
        <f>IFERROR(J136/'Income Statement'!E25,"")</f>
        <v>-0.25650143873174441</v>
      </c>
      <c r="P136" s="12">
        <f>IFERROR(K136/'Income Statement'!F25,"")</f>
        <v>-0.28375710792257153</v>
      </c>
      <c r="Q136" s="12">
        <f t="shared" si="32"/>
        <v>-0.22908086782571915</v>
      </c>
      <c r="R136" s="14" t="s">
        <v>521</v>
      </c>
      <c r="S136" s="15" t="s">
        <v>522</v>
      </c>
      <c r="T136" s="16">
        <f>T137+T138</f>
        <v>-8117</v>
      </c>
      <c r="U136" s="16">
        <f>U137+U138</f>
        <v>-7719</v>
      </c>
      <c r="V136" s="16">
        <f>V137+V138</f>
        <v>-7295</v>
      </c>
      <c r="W136" s="16">
        <f>W137+W138</f>
        <v>-6847</v>
      </c>
      <c r="X136" s="16">
        <f>X137+X138</f>
        <v>-6374</v>
      </c>
    </row>
    <row r="137" spans="1:24" ht="15" customHeight="1" x14ac:dyDescent="0.2">
      <c r="A137" s="6" t="s">
        <v>523</v>
      </c>
      <c r="B137" s="11">
        <v>-4403</v>
      </c>
      <c r="C137" s="11">
        <v>-5038</v>
      </c>
      <c r="D137" s="11">
        <v>-5393</v>
      </c>
      <c r="E137" s="11">
        <v>-5719</v>
      </c>
      <c r="F137" s="11">
        <v>-6144</v>
      </c>
      <c r="G137">
        <f>B137-B78-B74</f>
        <v>-8522</v>
      </c>
      <c r="H137">
        <f>C137-C78-C74</f>
        <v>-9267</v>
      </c>
      <c r="I137">
        <f>D137-D78-D74</f>
        <v>-9369</v>
      </c>
      <c r="J137">
        <f>E137-E78-E74</f>
        <v>-9637</v>
      </c>
      <c r="K137">
        <f>F137-F78-F74</f>
        <v>-9724</v>
      </c>
      <c r="L137" s="12">
        <f>IFERROR(G137/'Income Statement'!B25,"")</f>
        <v>-0.18647702407002187</v>
      </c>
      <c r="M137" s="12">
        <f>IFERROR(H137/'Income Statement'!C25,"")</f>
        <v>-0.20971282445857567</v>
      </c>
      <c r="N137" s="12">
        <f>IFERROR(I137/'Income Statement'!D25,"")</f>
        <v>-0.21513203214695753</v>
      </c>
      <c r="O137" s="12">
        <f>IFERROR(J137/'Income Statement'!E25,"")</f>
        <v>-0.26160486454204895</v>
      </c>
      <c r="P137" s="12">
        <f>IFERROR(K137/'Income Statement'!F25,"")</f>
        <v>-0.28649715683097138</v>
      </c>
      <c r="Q137" s="12">
        <f t="shared" si="32"/>
        <v>-0.23188478040971505</v>
      </c>
      <c r="R137" s="14" t="s">
        <v>524</v>
      </c>
      <c r="S137" s="15" t="s">
        <v>525</v>
      </c>
      <c r="T137" s="45">
        <f>ROUND(G137+'Income Statement'!K79-'Income Statement'!K101,0)</f>
        <v>-8155</v>
      </c>
      <c r="U137" s="45">
        <f>ROUND(T137+'Income Statement'!L79-'Income Statement'!L101,0)</f>
        <v>-7757</v>
      </c>
      <c r="V137" s="45">
        <f>ROUND(U137+'Income Statement'!M79-'Income Statement'!M101,0)</f>
        <v>-7333</v>
      </c>
      <c r="W137" s="45">
        <f>ROUND(V137+'Income Statement'!N79-'Income Statement'!N101,0)</f>
        <v>-6885</v>
      </c>
      <c r="X137" s="45">
        <f>ROUND(W137+'Income Statement'!O79-'Income Statement'!O101,0)</f>
        <v>-6412</v>
      </c>
    </row>
    <row r="138" spans="1:24" ht="15" customHeight="1" x14ac:dyDescent="0.2">
      <c r="A138" s="6" t="s">
        <v>526</v>
      </c>
      <c r="B138" s="11">
        <v>38</v>
      </c>
      <c r="C138" s="11">
        <v>86</v>
      </c>
      <c r="D138" s="11">
        <v>148</v>
      </c>
      <c r="E138" s="11">
        <v>188</v>
      </c>
      <c r="F138" s="11">
        <v>93</v>
      </c>
      <c r="G138" s="41">
        <f t="shared" ref="G138:K141" si="34">B138</f>
        <v>38</v>
      </c>
      <c r="H138" s="41">
        <f t="shared" si="34"/>
        <v>86</v>
      </c>
      <c r="I138" s="41">
        <f t="shared" si="34"/>
        <v>148</v>
      </c>
      <c r="J138" s="41">
        <f t="shared" si="34"/>
        <v>188</v>
      </c>
      <c r="K138" s="41">
        <f t="shared" si="34"/>
        <v>93</v>
      </c>
      <c r="L138" s="12">
        <f>IFERROR(G138/'Income Statement'!B25,"")</f>
        <v>8.3150984682713351E-4</v>
      </c>
      <c r="M138" s="12">
        <f>IFERROR(H138/'Income Statement'!C25,"")</f>
        <v>1.9461857023241077E-3</v>
      </c>
      <c r="N138" s="12">
        <f>IFERROR(I138/'Income Statement'!D25,"")</f>
        <v>3.3983926521239955E-3</v>
      </c>
      <c r="O138" s="12">
        <f>IFERROR(J138/'Income Statement'!E25,"")</f>
        <v>5.1034258103045769E-3</v>
      </c>
      <c r="P138" s="12">
        <f>IFERROR(K138/'Income Statement'!F25,"")</f>
        <v>2.7400489083998702E-3</v>
      </c>
      <c r="Q138" s="12">
        <f t="shared" si="32"/>
        <v>2.8039125839959371E-3</v>
      </c>
      <c r="R138" s="14" t="s">
        <v>527</v>
      </c>
      <c r="S138" s="15" t="s">
        <v>528</v>
      </c>
      <c r="T138" s="16">
        <f>T139+T140+T141</f>
        <v>38</v>
      </c>
      <c r="U138" s="16">
        <f>U139+U140+U141</f>
        <v>38</v>
      </c>
      <c r="V138" s="16">
        <f>V139+V140+V141</f>
        <v>38</v>
      </c>
      <c r="W138" s="16">
        <f>W139+W140+W141</f>
        <v>38</v>
      </c>
      <c r="X138" s="16">
        <f>X139+X140+X141</f>
        <v>38</v>
      </c>
    </row>
    <row r="139" spans="1:24" ht="15" customHeight="1" x14ac:dyDescent="0.2">
      <c r="A139" s="6" t="s">
        <v>529</v>
      </c>
      <c r="B139" s="11">
        <v>69</v>
      </c>
      <c r="C139" s="11">
        <v>69</v>
      </c>
      <c r="D139" s="11">
        <v>71</v>
      </c>
      <c r="E139" s="11">
        <v>48</v>
      </c>
      <c r="F139" s="11">
        <v>24</v>
      </c>
      <c r="G139" s="41">
        <f t="shared" si="34"/>
        <v>69</v>
      </c>
      <c r="H139" s="41">
        <f t="shared" si="34"/>
        <v>69</v>
      </c>
      <c r="I139" s="41">
        <f t="shared" si="34"/>
        <v>71</v>
      </c>
      <c r="J139" s="41">
        <f t="shared" si="34"/>
        <v>48</v>
      </c>
      <c r="K139" s="41">
        <f t="shared" si="34"/>
        <v>24</v>
      </c>
      <c r="L139" s="12">
        <f>IFERROR(G139/'Income Statement'!B25,"")</f>
        <v>1.5098468271334791E-3</v>
      </c>
      <c r="M139" s="12">
        <f>IFERROR(H139/'Income Statement'!C25,"")</f>
        <v>1.561474575120505E-3</v>
      </c>
      <c r="N139" s="12">
        <f>IFERROR(I139/'Income Statement'!D25,"")</f>
        <v>1.6303099885189437E-3</v>
      </c>
      <c r="O139" s="12">
        <f>IFERROR(J139/'Income Statement'!E25,"")</f>
        <v>1.3030023345458493E-3</v>
      </c>
      <c r="P139" s="12">
        <f>IFERROR(K139/'Income Statement'!F25,"")</f>
        <v>7.0710939571609556E-4</v>
      </c>
      <c r="Q139" s="12">
        <f t="shared" si="32"/>
        <v>1.3423486242069745E-3</v>
      </c>
      <c r="R139" s="14" t="s">
        <v>287</v>
      </c>
      <c r="S139" s="15" t="s">
        <v>530</v>
      </c>
      <c r="T139" s="16">
        <f>$G$139</f>
        <v>69</v>
      </c>
      <c r="U139" s="16">
        <f>$G$139</f>
        <v>69</v>
      </c>
      <c r="V139" s="16">
        <f>$G$139</f>
        <v>69</v>
      </c>
      <c r="W139" s="16">
        <f>$G$139</f>
        <v>69</v>
      </c>
      <c r="X139" s="16">
        <f>$G$139</f>
        <v>69</v>
      </c>
    </row>
    <row r="140" spans="1:24" ht="15" customHeight="1" x14ac:dyDescent="0.2">
      <c r="A140" s="6" t="s">
        <v>531</v>
      </c>
      <c r="B140" s="11">
        <v>-72</v>
      </c>
      <c r="C140" s="11">
        <v>-18</v>
      </c>
      <c r="D140" s="11">
        <v>38</v>
      </c>
      <c r="E140" s="11">
        <v>106</v>
      </c>
      <c r="F140" s="11">
        <v>24</v>
      </c>
      <c r="G140" s="41">
        <f t="shared" si="34"/>
        <v>-72</v>
      </c>
      <c r="H140" s="41">
        <f t="shared" si="34"/>
        <v>-18</v>
      </c>
      <c r="I140" s="41">
        <f t="shared" si="34"/>
        <v>38</v>
      </c>
      <c r="J140" s="41">
        <f t="shared" si="34"/>
        <v>106</v>
      </c>
      <c r="K140" s="41">
        <f t="shared" si="34"/>
        <v>24</v>
      </c>
      <c r="L140" s="12">
        <f>IFERROR(G140/'Income Statement'!B25,"")</f>
        <v>-1.575492341356674E-3</v>
      </c>
      <c r="M140" s="12">
        <f>IFERROR(H140/'Income Statement'!C25,"")</f>
        <v>-4.0734119350969696E-4</v>
      </c>
      <c r="N140" s="12">
        <f>IFERROR(I140/'Income Statement'!D25,"")</f>
        <v>8.7256027554535019E-4</v>
      </c>
      <c r="O140" s="12">
        <f>IFERROR(J140/'Income Statement'!E25,"")</f>
        <v>2.8774634887887506E-3</v>
      </c>
      <c r="P140" s="12">
        <f>IFERROR(K140/'Income Statement'!F25,"")</f>
        <v>7.0710939571609556E-4</v>
      </c>
      <c r="Q140" s="12">
        <f t="shared" si="32"/>
        <v>4.9485992503676501E-4</v>
      </c>
      <c r="R140" s="14" t="s">
        <v>287</v>
      </c>
      <c r="S140" s="15" t="s">
        <v>532</v>
      </c>
      <c r="T140" s="16">
        <f>$G$140</f>
        <v>-72</v>
      </c>
      <c r="U140" s="16">
        <f>$G$140</f>
        <v>-72</v>
      </c>
      <c r="V140" s="16">
        <f>$G$140</f>
        <v>-72</v>
      </c>
      <c r="W140" s="16">
        <f>$G$140</f>
        <v>-72</v>
      </c>
      <c r="X140" s="16">
        <f>$G$140</f>
        <v>-72</v>
      </c>
    </row>
    <row r="141" spans="1:24" ht="15" customHeight="1" x14ac:dyDescent="0.2">
      <c r="A141" s="6" t="s">
        <v>533</v>
      </c>
      <c r="B141" s="11">
        <v>41</v>
      </c>
      <c r="C141" s="11">
        <v>35</v>
      </c>
      <c r="D141" s="11">
        <v>39</v>
      </c>
      <c r="E141" s="11">
        <v>34</v>
      </c>
      <c r="F141" s="11">
        <v>45</v>
      </c>
      <c r="G141" s="41">
        <f t="shared" si="34"/>
        <v>41</v>
      </c>
      <c r="H141" s="41">
        <f t="shared" si="34"/>
        <v>35</v>
      </c>
      <c r="I141" s="41">
        <f t="shared" si="34"/>
        <v>39</v>
      </c>
      <c r="J141" s="41">
        <f t="shared" si="34"/>
        <v>34</v>
      </c>
      <c r="K141" s="41">
        <f t="shared" si="34"/>
        <v>45</v>
      </c>
      <c r="L141" s="12">
        <f>IFERROR(G141/'Income Statement'!B25,"")</f>
        <v>8.9715536105032826E-4</v>
      </c>
      <c r="M141" s="12">
        <f>IFERROR(H141/'Income Statement'!C25,"")</f>
        <v>7.9205232071329968E-4</v>
      </c>
      <c r="N141" s="12">
        <f>IFERROR(I141/'Income Statement'!D25,"")</f>
        <v>8.955223880597015E-4</v>
      </c>
      <c r="O141" s="12">
        <f>IFERROR(J141/'Income Statement'!E25,"")</f>
        <v>9.2295998696997666E-4</v>
      </c>
      <c r="P141" s="12">
        <f>IFERROR(K141/'Income Statement'!F25,"")</f>
        <v>1.3258301169676793E-3</v>
      </c>
      <c r="Q141" s="12">
        <f t="shared" si="32"/>
        <v>9.6670403475219708E-4</v>
      </c>
      <c r="R141" s="14" t="s">
        <v>287</v>
      </c>
      <c r="S141" s="15" t="s">
        <v>534</v>
      </c>
      <c r="T141" s="16">
        <f>$G$141</f>
        <v>41</v>
      </c>
      <c r="U141" s="16">
        <f>$G$141</f>
        <v>41</v>
      </c>
      <c r="V141" s="16">
        <f>$G$141</f>
        <v>41</v>
      </c>
      <c r="W141" s="16">
        <f>$G$141</f>
        <v>41</v>
      </c>
      <c r="X141" s="16">
        <f>$G$141</f>
        <v>41</v>
      </c>
    </row>
    <row r="142" spans="1:24" ht="15" customHeight="1" x14ac:dyDescent="0.2">
      <c r="A142" s="17" t="s">
        <v>535</v>
      </c>
      <c r="B142" s="18">
        <f t="shared" ref="B142:K142" si="35">B133+B136-B132</f>
        <v>9189</v>
      </c>
      <c r="C142" s="18">
        <f t="shared" si="35"/>
        <v>8585</v>
      </c>
      <c r="D142" s="18">
        <f t="shared" si="35"/>
        <v>8281</v>
      </c>
      <c r="E142" s="18">
        <f t="shared" si="35"/>
        <v>7981</v>
      </c>
      <c r="F142" s="18">
        <f t="shared" si="35"/>
        <v>9715</v>
      </c>
      <c r="G142">
        <f t="shared" si="35"/>
        <v>5070</v>
      </c>
      <c r="H142">
        <f t="shared" si="35"/>
        <v>4356</v>
      </c>
      <c r="I142">
        <f t="shared" si="35"/>
        <v>4305</v>
      </c>
      <c r="J142">
        <f t="shared" si="35"/>
        <v>4063</v>
      </c>
      <c r="K142">
        <f t="shared" si="35"/>
        <v>6135</v>
      </c>
      <c r="L142" s="12">
        <f>IFERROR(G142/'Income Statement'!B25,"")</f>
        <v>0.11094091903719913</v>
      </c>
      <c r="M142" s="12">
        <f>IFERROR(H142/'Income Statement'!C25,"")</f>
        <v>9.8576568829346664E-2</v>
      </c>
      <c r="N142" s="12">
        <f>IFERROR(I142/'Income Statement'!D25,"")</f>
        <v>9.8851894374282434E-2</v>
      </c>
      <c r="O142" s="12">
        <f>IFERROR(J142/'Income Statement'!E25,"")</f>
        <v>0.11029371844291221</v>
      </c>
      <c r="P142" s="12">
        <f>IFERROR(K142/'Income Statement'!F25,"")</f>
        <v>0.18075483927992694</v>
      </c>
      <c r="Q142" s="12">
        <f t="shared" si="32"/>
        <v>0.11988358799273346</v>
      </c>
      <c r="R142" s="14" t="s">
        <v>536</v>
      </c>
      <c r="S142" s="15" t="s">
        <v>537</v>
      </c>
      <c r="T142" s="46">
        <f>T133+T136-T132</f>
        <v>5437</v>
      </c>
      <c r="U142" s="46">
        <f>U133+U136-U132</f>
        <v>5835</v>
      </c>
      <c r="V142" s="46">
        <f>V133+V136-V132</f>
        <v>6259</v>
      </c>
      <c r="W142" s="46">
        <f>W133+W136-W132</f>
        <v>6707</v>
      </c>
      <c r="X142" s="46">
        <f>X133+X136-X132</f>
        <v>7180</v>
      </c>
    </row>
    <row r="143" spans="1:24" ht="15" customHeight="1" x14ac:dyDescent="0.2">
      <c r="A143" s="5" t="s">
        <v>538</v>
      </c>
      <c r="B143" s="5"/>
      <c r="C143" s="5"/>
      <c r="D143" s="5"/>
      <c r="E143" s="5"/>
      <c r="F143" s="5"/>
      <c r="R143" s="10"/>
      <c r="S143" s="10"/>
    </row>
    <row r="144" spans="1:24" ht="15" customHeight="1" x14ac:dyDescent="0.2">
      <c r="A144" s="17" t="s">
        <v>539</v>
      </c>
      <c r="B144" s="18">
        <f t="shared" ref="B144:K144" si="36">B142</f>
        <v>9189</v>
      </c>
      <c r="C144" s="18">
        <f t="shared" si="36"/>
        <v>8585</v>
      </c>
      <c r="D144" s="18">
        <f t="shared" si="36"/>
        <v>8281</v>
      </c>
      <c r="E144" s="18">
        <f t="shared" si="36"/>
        <v>7981</v>
      </c>
      <c r="F144" s="18">
        <f t="shared" si="36"/>
        <v>9715</v>
      </c>
      <c r="G144">
        <f t="shared" si="36"/>
        <v>5070</v>
      </c>
      <c r="H144">
        <f t="shared" si="36"/>
        <v>4356</v>
      </c>
      <c r="I144">
        <f t="shared" si="36"/>
        <v>4305</v>
      </c>
      <c r="J144">
        <f t="shared" si="36"/>
        <v>4063</v>
      </c>
      <c r="K144">
        <f t="shared" si="36"/>
        <v>6135</v>
      </c>
      <c r="L144" s="12">
        <f>IFERROR(G144/'Income Statement'!B25,"")</f>
        <v>0.11094091903719913</v>
      </c>
      <c r="M144" s="12">
        <f>IFERROR(H144/'Income Statement'!C25,"")</f>
        <v>9.8576568829346664E-2</v>
      </c>
      <c r="N144" s="12">
        <f>IFERROR(I144/'Income Statement'!D25,"")</f>
        <v>9.8851894374282434E-2</v>
      </c>
      <c r="O144" s="12">
        <f>IFERROR(J144/'Income Statement'!E25,"")</f>
        <v>0.11029371844291221</v>
      </c>
      <c r="P144" s="12">
        <f>IFERROR(K144/'Income Statement'!F25,"")</f>
        <v>0.18075483927992694</v>
      </c>
      <c r="Q144" s="12">
        <f>IFERROR(AVERAGE(L144:P144),"")</f>
        <v>0.11988358799273346</v>
      </c>
      <c r="R144" s="14">
        <v>142</v>
      </c>
      <c r="S144" s="15" t="s">
        <v>540</v>
      </c>
      <c r="T144" s="16">
        <f>T142</f>
        <v>5437</v>
      </c>
      <c r="U144" s="16">
        <f>U142</f>
        <v>5835</v>
      </c>
      <c r="V144" s="16">
        <f>V142</f>
        <v>6259</v>
      </c>
      <c r="W144" s="16">
        <f>W142</f>
        <v>6707</v>
      </c>
      <c r="X144" s="16">
        <f>X142</f>
        <v>7180</v>
      </c>
    </row>
    <row r="145" spans="1:24" ht="15" customHeight="1" x14ac:dyDescent="0.2">
      <c r="A145" s="5" t="s">
        <v>541</v>
      </c>
      <c r="B145" s="5"/>
      <c r="C145" s="5"/>
      <c r="D145" s="5"/>
      <c r="E145" s="5"/>
      <c r="F145" s="5"/>
      <c r="R145" s="10"/>
      <c r="S145" s="10"/>
    </row>
    <row r="146" spans="1:24" ht="15" customHeight="1" x14ac:dyDescent="0.2">
      <c r="A146" s="17" t="s">
        <v>542</v>
      </c>
      <c r="B146" s="18">
        <f t="shared" ref="B146:K146" si="37">B128+B144</f>
        <v>27981</v>
      </c>
      <c r="C146" s="18">
        <f t="shared" si="37"/>
        <v>27309</v>
      </c>
      <c r="D146" s="18">
        <f t="shared" si="37"/>
        <v>26546</v>
      </c>
      <c r="E146" s="18">
        <f t="shared" si="37"/>
        <v>27286</v>
      </c>
      <c r="F146" s="18">
        <f t="shared" si="37"/>
        <v>26214</v>
      </c>
      <c r="G146">
        <f t="shared" si="37"/>
        <v>23862</v>
      </c>
      <c r="H146">
        <f t="shared" si="37"/>
        <v>23080</v>
      </c>
      <c r="I146">
        <f t="shared" si="37"/>
        <v>22570</v>
      </c>
      <c r="J146">
        <f t="shared" si="37"/>
        <v>23368</v>
      </c>
      <c r="K146">
        <f t="shared" si="37"/>
        <v>22634</v>
      </c>
      <c r="L146" s="12">
        <f>IFERROR(G146/'Income Statement'!B25,"")</f>
        <v>0.52214442013129103</v>
      </c>
      <c r="M146" s="12">
        <f>IFERROR(H146/'Income Statement'!C25,"")</f>
        <v>0.52230193034465588</v>
      </c>
      <c r="N146" s="12">
        <f>IFERROR(I146/'Income Statement'!D25,"")</f>
        <v>0.51825487944890924</v>
      </c>
      <c r="O146" s="12">
        <f>IFERROR(J146/'Income Statement'!E25,"")</f>
        <v>0.63434496986807098</v>
      </c>
      <c r="P146" s="12">
        <f>IFERROR(K146/'Income Statement'!F25,"")</f>
        <v>0.6668630859432545</v>
      </c>
      <c r="Q146" s="12">
        <f>IFERROR(AVERAGE(L146:P146),"")</f>
        <v>0.5727818571472364</v>
      </c>
      <c r="R146" s="14" t="s">
        <v>543</v>
      </c>
      <c r="S146" s="15" t="s">
        <v>544</v>
      </c>
      <c r="T146" s="43">
        <f>T128+T144</f>
        <v>27227</v>
      </c>
      <c r="U146" s="43">
        <f>U128+U144</f>
        <v>28725</v>
      </c>
      <c r="V146" s="43">
        <f>V128+V144</f>
        <v>30249</v>
      </c>
      <c r="W146" s="43">
        <f>W128+W144</f>
        <v>31798</v>
      </c>
      <c r="X146" s="43">
        <f>X128+X144</f>
        <v>33371</v>
      </c>
    </row>
    <row r="147" spans="1:24" ht="15" customHeight="1" x14ac:dyDescent="0.2">
      <c r="A147" s="8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</row>
    <row r="148" spans="1:24" ht="15" customHeight="1" x14ac:dyDescent="0.2">
      <c r="A148" s="47" t="s">
        <v>545</v>
      </c>
    </row>
    <row r="149" spans="1:24" ht="15" customHeight="1" x14ac:dyDescent="0.2">
      <c r="A149" s="8" t="s">
        <v>546</v>
      </c>
      <c r="B149" s="6"/>
      <c r="E149" s="41"/>
      <c r="L149" s="41"/>
    </row>
    <row r="150" spans="1:24" ht="15" customHeight="1" x14ac:dyDescent="0.2">
      <c r="A150" s="48" t="s">
        <v>547</v>
      </c>
      <c r="B150" s="138" t="s">
        <v>548</v>
      </c>
      <c r="C150" s="138"/>
      <c r="D150" s="138"/>
      <c r="E150" s="138"/>
      <c r="F150" s="138"/>
      <c r="G150" s="138"/>
    </row>
    <row r="151" spans="1:24" ht="15" customHeight="1" x14ac:dyDescent="0.2">
      <c r="A151" s="6"/>
      <c r="B151" s="138"/>
      <c r="C151" s="138"/>
      <c r="D151" s="138"/>
      <c r="E151" s="138"/>
      <c r="F151" s="138"/>
      <c r="G151" s="138"/>
    </row>
    <row r="152" spans="1:24" ht="15" customHeight="1" x14ac:dyDescent="0.2">
      <c r="A152" s="6"/>
      <c r="B152" s="138"/>
      <c r="C152" s="138"/>
      <c r="D152" s="138"/>
      <c r="E152" s="138"/>
      <c r="F152" s="138"/>
      <c r="G152" s="138"/>
    </row>
    <row r="153" spans="1:24" ht="15" customHeight="1" x14ac:dyDescent="0.2">
      <c r="A153" s="6"/>
      <c r="B153" s="138"/>
      <c r="C153" s="138"/>
      <c r="D153" s="138"/>
      <c r="E153" s="138"/>
      <c r="F153" s="138"/>
      <c r="G153" s="138"/>
    </row>
    <row r="154" spans="1:24" ht="15" customHeight="1" x14ac:dyDescent="0.2">
      <c r="A154" s="6"/>
      <c r="B154" s="138"/>
      <c r="C154" s="138"/>
      <c r="D154" s="138"/>
      <c r="E154" s="138"/>
      <c r="F154" s="138"/>
      <c r="G154" s="138"/>
    </row>
    <row r="155" spans="1:24" ht="15" customHeight="1" x14ac:dyDescent="0.2">
      <c r="A155" s="6"/>
      <c r="B155" s="138"/>
      <c r="C155" s="138"/>
      <c r="D155" s="138"/>
      <c r="E155" s="138"/>
      <c r="F155" s="138"/>
      <c r="G155" s="138"/>
    </row>
    <row r="156" spans="1:24" ht="15" customHeight="1" x14ac:dyDescent="0.2">
      <c r="A156" s="6"/>
      <c r="B156" s="138"/>
      <c r="C156" s="138"/>
      <c r="D156" s="138"/>
      <c r="E156" s="138"/>
      <c r="F156" s="138"/>
      <c r="G156" s="138"/>
    </row>
    <row r="157" spans="1:24" ht="15" customHeight="1" x14ac:dyDescent="0.2">
      <c r="A157" s="6"/>
      <c r="B157" s="138"/>
      <c r="C157" s="138"/>
      <c r="D157" s="138"/>
      <c r="E157" s="138"/>
      <c r="F157" s="138"/>
      <c r="G157" s="138"/>
    </row>
    <row r="158" spans="1:24" ht="15" customHeight="1" x14ac:dyDescent="0.2">
      <c r="A158" s="6"/>
      <c r="B158" s="138"/>
      <c r="C158" s="138"/>
      <c r="D158" s="138"/>
      <c r="E158" s="138"/>
      <c r="F158" s="138"/>
      <c r="G158" s="138"/>
    </row>
    <row r="159" spans="1:24" ht="15" customHeight="1" x14ac:dyDescent="0.2">
      <c r="A159" s="6"/>
      <c r="B159" s="6"/>
    </row>
    <row r="160" spans="1:24" ht="15" customHeight="1" x14ac:dyDescent="0.2">
      <c r="A160" s="6"/>
      <c r="B160" s="6"/>
    </row>
    <row r="161" spans="1:7" ht="15" customHeight="1" x14ac:dyDescent="0.2">
      <c r="A161" s="8" t="s">
        <v>549</v>
      </c>
      <c r="B161" s="6"/>
    </row>
    <row r="162" spans="1:7" ht="15" customHeight="1" x14ac:dyDescent="0.2">
      <c r="A162" s="48" t="s">
        <v>547</v>
      </c>
      <c r="B162" s="138" t="s">
        <v>550</v>
      </c>
      <c r="C162" s="138"/>
      <c r="D162" s="138"/>
      <c r="E162" s="138"/>
      <c r="F162" s="138"/>
      <c r="G162" s="138"/>
    </row>
    <row r="163" spans="1:7" ht="15" customHeight="1" x14ac:dyDescent="0.2">
      <c r="A163" s="6"/>
      <c r="B163" s="138"/>
      <c r="C163" s="138"/>
      <c r="D163" s="138"/>
      <c r="E163" s="138"/>
      <c r="F163" s="138"/>
      <c r="G163" s="138"/>
    </row>
    <row r="164" spans="1:7" ht="15" customHeight="1" x14ac:dyDescent="0.2">
      <c r="A164" s="6"/>
      <c r="B164" s="138"/>
      <c r="C164" s="138"/>
      <c r="D164" s="138"/>
      <c r="E164" s="138"/>
      <c r="F164" s="138"/>
      <c r="G164" s="138"/>
    </row>
    <row r="165" spans="1:7" ht="15" customHeight="1" x14ac:dyDescent="0.2">
      <c r="A165" s="6"/>
      <c r="B165" s="138"/>
      <c r="C165" s="138"/>
      <c r="D165" s="138"/>
      <c r="E165" s="138"/>
      <c r="F165" s="138"/>
      <c r="G165" s="138"/>
    </row>
    <row r="166" spans="1:7" ht="15" customHeight="1" x14ac:dyDescent="0.2">
      <c r="A166" s="6"/>
      <c r="B166" s="138"/>
      <c r="C166" s="138"/>
      <c r="D166" s="138"/>
      <c r="E166" s="138"/>
      <c r="F166" s="138"/>
      <c r="G166" s="138"/>
    </row>
    <row r="167" spans="1:7" ht="15" customHeight="1" x14ac:dyDescent="0.2">
      <c r="A167" s="6"/>
      <c r="B167" s="138"/>
      <c r="C167" s="138"/>
      <c r="D167" s="138"/>
      <c r="E167" s="138"/>
      <c r="F167" s="138"/>
      <c r="G167" s="138"/>
    </row>
    <row r="168" spans="1:7" ht="15" customHeight="1" x14ac:dyDescent="0.2">
      <c r="A168" s="6"/>
      <c r="B168" s="138"/>
      <c r="C168" s="138"/>
      <c r="D168" s="138"/>
      <c r="E168" s="138"/>
      <c r="F168" s="138"/>
      <c r="G168" s="138"/>
    </row>
    <row r="169" spans="1:7" ht="15" customHeight="1" x14ac:dyDescent="0.2">
      <c r="A169" s="6"/>
      <c r="B169" s="6"/>
    </row>
    <row r="170" spans="1:7" ht="15" customHeight="1" x14ac:dyDescent="0.2">
      <c r="A170" s="8" t="s">
        <v>551</v>
      </c>
      <c r="B170" s="6"/>
    </row>
    <row r="171" spans="1:7" ht="15" customHeight="1" x14ac:dyDescent="0.2">
      <c r="A171" s="48" t="s">
        <v>552</v>
      </c>
      <c r="B171" s="139" t="s">
        <v>553</v>
      </c>
      <c r="C171" s="139"/>
      <c r="D171" s="139"/>
      <c r="E171" s="139"/>
      <c r="F171" s="139"/>
      <c r="G171" s="139"/>
    </row>
    <row r="172" spans="1:7" ht="15" customHeight="1" x14ac:dyDescent="0.2">
      <c r="A172" s="6"/>
      <c r="B172" s="139"/>
      <c r="C172" s="139"/>
      <c r="D172" s="139"/>
      <c r="E172" s="139"/>
      <c r="F172" s="139"/>
      <c r="G172" s="139"/>
    </row>
    <row r="173" spans="1:7" ht="15" customHeight="1" x14ac:dyDescent="0.2">
      <c r="A173" s="6"/>
      <c r="B173" s="139"/>
      <c r="C173" s="139"/>
      <c r="D173" s="139"/>
      <c r="E173" s="139"/>
      <c r="F173" s="139"/>
      <c r="G173" s="139"/>
    </row>
    <row r="174" spans="1:7" ht="15" customHeight="1" x14ac:dyDescent="0.2">
      <c r="B174" s="139"/>
      <c r="C174" s="139"/>
      <c r="D174" s="139"/>
      <c r="E174" s="139"/>
      <c r="F174" s="139"/>
      <c r="G174" s="139"/>
    </row>
    <row r="176" spans="1:7" ht="15" customHeight="1" x14ac:dyDescent="0.2">
      <c r="B176" s="6"/>
    </row>
    <row r="177" spans="2:2" ht="15" customHeight="1" x14ac:dyDescent="0.2">
      <c r="B177" s="6"/>
    </row>
    <row r="178" spans="2:2" ht="15" customHeight="1" x14ac:dyDescent="0.2">
      <c r="B178" s="6"/>
    </row>
  </sheetData>
  <mergeCells count="3">
    <mergeCell ref="B150:G158"/>
    <mergeCell ref="B162:G168"/>
    <mergeCell ref="B171:G17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7"/>
  <sheetViews>
    <sheetView zoomScaleNormal="100" workbookViewId="0">
      <selection activeCell="A16" sqref="A16"/>
    </sheetView>
  </sheetViews>
  <sheetFormatPr baseColWidth="10" defaultColWidth="9.1640625" defaultRowHeight="15" x14ac:dyDescent="0.2"/>
  <cols>
    <col min="1" max="1" width="9.1640625" style="49"/>
    <col min="2" max="2" width="17.6640625" style="49" customWidth="1"/>
    <col min="3" max="3" width="20.6640625" style="49" customWidth="1"/>
    <col min="4" max="4" width="19.5" style="49" customWidth="1"/>
    <col min="5" max="5" width="18" style="49" customWidth="1"/>
    <col min="6" max="6" width="19.5" style="49" customWidth="1"/>
    <col min="7" max="7" width="17.83203125" style="49" customWidth="1"/>
    <col min="8" max="16384" width="9.1640625" style="49"/>
  </cols>
  <sheetData>
    <row r="2" spans="1:7" ht="15" customHeight="1" x14ac:dyDescent="0.2">
      <c r="A2" s="50" t="s">
        <v>554</v>
      </c>
      <c r="B2" s="50" t="s">
        <v>555</v>
      </c>
      <c r="C2" s="50" t="s">
        <v>556</v>
      </c>
      <c r="D2" s="50" t="s">
        <v>557</v>
      </c>
      <c r="E2" s="50" t="s">
        <v>558</v>
      </c>
      <c r="F2" s="50" t="s">
        <v>559</v>
      </c>
      <c r="G2" s="50" t="s">
        <v>560</v>
      </c>
    </row>
    <row r="3" spans="1:7" ht="15" customHeight="1" x14ac:dyDescent="0.2">
      <c r="A3" s="50">
        <v>2021</v>
      </c>
      <c r="B3" s="51">
        <f>'Income Statement'!F79</f>
        <v>2380</v>
      </c>
      <c r="C3" s="52">
        <v>-10085</v>
      </c>
      <c r="D3" s="52">
        <f>'Balance Sheet'!K137</f>
        <v>-9724</v>
      </c>
      <c r="E3" s="52">
        <f>B3+C3-D3</f>
        <v>2019</v>
      </c>
      <c r="F3" s="53">
        <f>E3/B3</f>
        <v>0.84831932773109242</v>
      </c>
      <c r="G3" s="53">
        <f t="shared" ref="G3:G8" si="0">1-F3</f>
        <v>0.15168067226890758</v>
      </c>
    </row>
    <row r="4" spans="1:7" ht="15" customHeight="1" x14ac:dyDescent="0.2">
      <c r="A4" s="50">
        <v>2022</v>
      </c>
      <c r="B4" s="51">
        <f>'Income Statement'!E79</f>
        <v>2352</v>
      </c>
      <c r="C4" s="52">
        <f>'Balance Sheet'!K137</f>
        <v>-9724</v>
      </c>
      <c r="D4" s="52">
        <f>'Balance Sheet'!J137</f>
        <v>-9637</v>
      </c>
      <c r="E4" s="52">
        <f>B4+C4-D4</f>
        <v>2265</v>
      </c>
      <c r="F4" s="53">
        <f>E4/B4</f>
        <v>0.96301020408163263</v>
      </c>
      <c r="G4" s="53">
        <f t="shared" si="0"/>
        <v>3.6989795918367374E-2</v>
      </c>
    </row>
    <row r="5" spans="1:7" ht="15" customHeight="1" x14ac:dyDescent="0.2">
      <c r="A5" s="50">
        <v>2023</v>
      </c>
      <c r="B5" s="51">
        <f>'Income Statement'!D79</f>
        <v>2465</v>
      </c>
      <c r="C5" s="52">
        <f>'Balance Sheet'!J137</f>
        <v>-9637</v>
      </c>
      <c r="D5" s="52">
        <f>'Balance Sheet'!I137</f>
        <v>-9369</v>
      </c>
      <c r="E5" s="52">
        <f>B5+C5-D5</f>
        <v>2197</v>
      </c>
      <c r="F5" s="53">
        <f>E5/B5</f>
        <v>0.89127789046653139</v>
      </c>
      <c r="G5" s="53">
        <f t="shared" si="0"/>
        <v>0.10872210953346861</v>
      </c>
    </row>
    <row r="6" spans="1:7" ht="15" customHeight="1" x14ac:dyDescent="0.2">
      <c r="A6" s="50">
        <v>2024</v>
      </c>
      <c r="B6" s="51">
        <f>'Income Statement'!C79</f>
        <v>2557</v>
      </c>
      <c r="C6" s="52">
        <f>'Balance Sheet'!I137</f>
        <v>-9369</v>
      </c>
      <c r="D6" s="52">
        <f>'Balance Sheet'!H137</f>
        <v>-9267</v>
      </c>
      <c r="E6" s="52">
        <f>B6+C6-D6</f>
        <v>2455</v>
      </c>
      <c r="F6" s="53">
        <f>E6/B6</f>
        <v>0.96010950332420808</v>
      </c>
      <c r="G6" s="53">
        <f t="shared" si="0"/>
        <v>3.989049667579192E-2</v>
      </c>
    </row>
    <row r="7" spans="1:7" ht="15" customHeight="1" x14ac:dyDescent="0.2">
      <c r="A7" s="50">
        <v>2025</v>
      </c>
      <c r="B7" s="51">
        <f>'Income Statement'!B79</f>
        <v>2926</v>
      </c>
      <c r="C7" s="52">
        <f>'Balance Sheet'!H137</f>
        <v>-9267</v>
      </c>
      <c r="D7" s="52">
        <f>'Balance Sheet'!G137</f>
        <v>-8522</v>
      </c>
      <c r="E7" s="52">
        <f>B7+C7-D7</f>
        <v>2181</v>
      </c>
      <c r="F7" s="53">
        <f>E7/B7</f>
        <v>0.74538619275461382</v>
      </c>
      <c r="G7" s="53">
        <f t="shared" si="0"/>
        <v>0.25461380724538618</v>
      </c>
    </row>
    <row r="8" spans="1:7" ht="15" customHeight="1" x14ac:dyDescent="0.2">
      <c r="B8" s="52"/>
      <c r="C8" s="52"/>
      <c r="D8" s="52"/>
      <c r="E8" s="54" t="s">
        <v>561</v>
      </c>
      <c r="F8" s="53">
        <f>AVERAGE(F3:F7)</f>
        <v>0.88162062367161576</v>
      </c>
      <c r="G8" s="53">
        <f t="shared" si="0"/>
        <v>0.11837937632838424</v>
      </c>
    </row>
    <row r="9" spans="1:7" ht="15" customHeight="1" x14ac:dyDescent="0.2">
      <c r="D9" s="55"/>
    </row>
    <row r="10" spans="1:7" ht="15" customHeight="1" x14ac:dyDescent="0.2">
      <c r="A10" s="50">
        <v>2026</v>
      </c>
      <c r="B10" s="56">
        <f>'Income Statement'!K79</f>
        <v>3098</v>
      </c>
      <c r="C10" s="52">
        <f>'Balance Sheet'!G137</f>
        <v>-8522</v>
      </c>
      <c r="D10" s="56">
        <f>B10+C10-E10</f>
        <v>-8155.2606921346651</v>
      </c>
      <c r="E10" s="57">
        <f>B10*F10</f>
        <v>2731.2606921346655</v>
      </c>
      <c r="F10" s="53">
        <f>$F$8</f>
        <v>0.88162062367161576</v>
      </c>
      <c r="G10" s="53">
        <f>1-F10</f>
        <v>0.11837937632838424</v>
      </c>
    </row>
    <row r="11" spans="1:7" ht="15" customHeight="1" x14ac:dyDescent="0.2">
      <c r="A11" s="50">
        <v>2027</v>
      </c>
      <c r="B11" s="56">
        <f>'Income Statement'!L79</f>
        <v>3365</v>
      </c>
      <c r="C11" s="51">
        <f>'Balance Sheet'!T137</f>
        <v>-8155</v>
      </c>
      <c r="D11" s="56">
        <f>B11+C11-E11</f>
        <v>-7756.6533986549875</v>
      </c>
      <c r="E11" s="57">
        <f>B11*F11</f>
        <v>2966.6533986549871</v>
      </c>
      <c r="F11" s="53">
        <f>$F$8</f>
        <v>0.88162062367161576</v>
      </c>
      <c r="G11" s="53">
        <f>1-F11</f>
        <v>0.11837937632838424</v>
      </c>
    </row>
    <row r="12" spans="1:7" ht="15" customHeight="1" x14ac:dyDescent="0.2">
      <c r="A12" s="50">
        <v>2028</v>
      </c>
      <c r="B12" s="56">
        <f>'Income Statement'!M79</f>
        <v>3577</v>
      </c>
      <c r="C12" s="51">
        <f>'Balance Sheet'!U137</f>
        <v>-7757</v>
      </c>
      <c r="D12" s="56">
        <f>B12+C12-E12</f>
        <v>-7333.5569708733692</v>
      </c>
      <c r="E12" s="57">
        <f>B12*F12</f>
        <v>3153.5569708733697</v>
      </c>
      <c r="F12" s="53">
        <f>$F$8</f>
        <v>0.88162062367161576</v>
      </c>
      <c r="G12" s="53">
        <f>1-F12</f>
        <v>0.11837937632838424</v>
      </c>
    </row>
    <row r="13" spans="1:7" ht="15" customHeight="1" x14ac:dyDescent="0.2">
      <c r="A13" s="50">
        <v>2029</v>
      </c>
      <c r="B13" s="56">
        <f>'Income Statement'!N79</f>
        <v>3786</v>
      </c>
      <c r="C13" s="51">
        <f>'Balance Sheet'!V137</f>
        <v>-7333</v>
      </c>
      <c r="D13" s="56">
        <f>B13+C13-E13</f>
        <v>-6884.8156812207371</v>
      </c>
      <c r="E13" s="57">
        <f>B13*F13</f>
        <v>3337.8156812207371</v>
      </c>
      <c r="F13" s="53">
        <f>$F$8</f>
        <v>0.88162062367161576</v>
      </c>
      <c r="G13" s="53">
        <f>1-F13</f>
        <v>0.11837937632838424</v>
      </c>
    </row>
    <row r="14" spans="1:7" ht="15" customHeight="1" x14ac:dyDescent="0.2">
      <c r="A14" s="50">
        <v>2030</v>
      </c>
      <c r="B14" s="56">
        <f>'Income Statement'!O79</f>
        <v>3998</v>
      </c>
      <c r="C14" s="51">
        <f>'Balance Sheet'!W137</f>
        <v>-6885</v>
      </c>
      <c r="D14" s="56">
        <f>B14+C14-E14</f>
        <v>-6411.7192534391197</v>
      </c>
      <c r="E14" s="57">
        <f>B14*F14</f>
        <v>3524.7192534391197</v>
      </c>
      <c r="F14" s="53">
        <f>$F$8</f>
        <v>0.88162062367161576</v>
      </c>
      <c r="G14" s="53">
        <f>1-F14</f>
        <v>0.11837937632838424</v>
      </c>
    </row>
    <row r="17" spans="2:11" ht="32.25" customHeight="1" x14ac:dyDescent="0.2">
      <c r="B17" s="140" t="s">
        <v>562</v>
      </c>
      <c r="C17" s="140"/>
      <c r="D17" s="140"/>
      <c r="E17" s="140"/>
      <c r="F17" s="140"/>
      <c r="G17" s="140"/>
      <c r="H17" s="140"/>
      <c r="I17" s="140"/>
      <c r="J17" s="140"/>
      <c r="K17" s="140"/>
    </row>
  </sheetData>
  <mergeCells count="1">
    <mergeCell ref="B17:K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1"/>
  <sheetViews>
    <sheetView topLeftCell="A33" zoomScaleNormal="100" workbookViewId="0">
      <selection activeCell="A16" sqref="A16"/>
    </sheetView>
  </sheetViews>
  <sheetFormatPr baseColWidth="10" defaultColWidth="9.1640625" defaultRowHeight="15" x14ac:dyDescent="0.2"/>
  <cols>
    <col min="1" max="1" width="9.1640625" style="49"/>
    <col min="2" max="2" width="25.33203125" style="49" customWidth="1"/>
    <col min="3" max="3" width="9.1640625" style="49"/>
    <col min="4" max="4" width="23.33203125" style="58" customWidth="1"/>
    <col min="5" max="5" width="21.83203125" style="49" customWidth="1"/>
    <col min="6" max="6" width="26.5" style="49" customWidth="1"/>
    <col min="7" max="8" width="9.1640625" style="49"/>
    <col min="9" max="9" width="9.5" style="49" customWidth="1"/>
    <col min="10" max="16384" width="9.1640625" style="49"/>
  </cols>
  <sheetData>
    <row r="1" spans="1:13" ht="15.75" customHeight="1" x14ac:dyDescent="0.2">
      <c r="A1" s="59" t="s">
        <v>563</v>
      </c>
      <c r="B1" s="60" t="s">
        <v>564</v>
      </c>
      <c r="C1" s="60" t="s">
        <v>565</v>
      </c>
      <c r="D1" s="59" t="s">
        <v>566</v>
      </c>
      <c r="E1" s="60" t="s">
        <v>567</v>
      </c>
      <c r="F1" s="60" t="s">
        <v>568</v>
      </c>
    </row>
    <row r="2" spans="1:13" ht="15.75" customHeight="1" x14ac:dyDescent="0.2">
      <c r="A2" s="59">
        <v>1995</v>
      </c>
      <c r="B2" s="61">
        <v>2512.6999999999998</v>
      </c>
      <c r="C2" s="59">
        <v>66</v>
      </c>
      <c r="D2" s="62">
        <f t="shared" ref="D2:D32" si="0">(B2*$C$32)/C2</f>
        <v>5482.2545454545452</v>
      </c>
      <c r="E2" s="59">
        <v>281218</v>
      </c>
      <c r="F2" s="63">
        <v>1.1100000000000001</v>
      </c>
    </row>
    <row r="3" spans="1:13" ht="15.75" customHeight="1" x14ac:dyDescent="0.2">
      <c r="A3" s="59">
        <v>1996</v>
      </c>
      <c r="B3" s="61">
        <v>2513.0300000000002</v>
      </c>
      <c r="C3" s="59">
        <v>67</v>
      </c>
      <c r="D3" s="62">
        <f t="shared" si="0"/>
        <v>5401.1391044776119</v>
      </c>
      <c r="E3" s="59">
        <v>292390</v>
      </c>
      <c r="F3" s="63">
        <v>1.21</v>
      </c>
      <c r="H3" s="49" t="s">
        <v>569</v>
      </c>
    </row>
    <row r="4" spans="1:13" ht="16.5" customHeight="1" x14ac:dyDescent="0.2">
      <c r="A4" s="59">
        <v>1997</v>
      </c>
      <c r="B4" s="61">
        <v>2709.52</v>
      </c>
      <c r="C4" s="59">
        <v>66.8</v>
      </c>
      <c r="D4" s="62">
        <f t="shared" si="0"/>
        <v>5840.8814371257486</v>
      </c>
      <c r="E4" s="59">
        <v>306170</v>
      </c>
      <c r="F4" s="63">
        <v>1.08</v>
      </c>
    </row>
    <row r="5" spans="1:13" ht="15.75" customHeight="1" x14ac:dyDescent="0.2">
      <c r="A5" s="59">
        <v>1998</v>
      </c>
      <c r="B5" s="61">
        <v>2822.77</v>
      </c>
      <c r="C5" s="59">
        <v>67.8</v>
      </c>
      <c r="D5" s="62">
        <f t="shared" si="0"/>
        <v>5995.26371681416</v>
      </c>
      <c r="E5" s="59">
        <v>320472</v>
      </c>
      <c r="F5" s="63">
        <v>1</v>
      </c>
      <c r="H5" s="141" t="s">
        <v>570</v>
      </c>
      <c r="I5" s="141"/>
    </row>
    <row r="6" spans="1:13" ht="15.75" customHeight="1" x14ac:dyDescent="0.2">
      <c r="A6" s="59">
        <v>1999</v>
      </c>
      <c r="B6" s="61">
        <v>3119.46</v>
      </c>
      <c r="C6" s="59">
        <v>69.099999999999994</v>
      </c>
      <c r="D6" s="62">
        <f t="shared" si="0"/>
        <v>6500.7560057887122</v>
      </c>
      <c r="E6" s="59">
        <v>334691</v>
      </c>
      <c r="F6" s="63">
        <v>1.0900000000000001</v>
      </c>
      <c r="H6" s="49" t="s">
        <v>571</v>
      </c>
      <c r="I6" s="49">
        <v>0.65626381130016997</v>
      </c>
    </row>
    <row r="7" spans="1:13" ht="15.75" customHeight="1" x14ac:dyDescent="0.2">
      <c r="A7" s="59">
        <v>2000</v>
      </c>
      <c r="B7" s="61">
        <v>3480.16</v>
      </c>
      <c r="C7" s="59">
        <v>73.099999999999994</v>
      </c>
      <c r="D7" s="62">
        <f t="shared" si="0"/>
        <v>6855.5819425444597</v>
      </c>
      <c r="E7" s="59">
        <v>345063</v>
      </c>
      <c r="F7" s="63">
        <v>1.1399999999999999</v>
      </c>
      <c r="H7" s="49" t="s">
        <v>572</v>
      </c>
      <c r="I7" s="49">
        <v>0.43068219002222502</v>
      </c>
    </row>
    <row r="8" spans="1:13" ht="15.75" customHeight="1" x14ac:dyDescent="0.2">
      <c r="A8" s="59">
        <v>2001</v>
      </c>
      <c r="B8" s="61">
        <v>4388.6499999999996</v>
      </c>
      <c r="C8" s="59">
        <v>75.400000000000006</v>
      </c>
      <c r="D8" s="62">
        <f t="shared" si="0"/>
        <v>8381.5066312997333</v>
      </c>
      <c r="E8" s="59">
        <v>354037</v>
      </c>
      <c r="F8" s="63">
        <v>1.28</v>
      </c>
      <c r="H8" s="49" t="s">
        <v>573</v>
      </c>
      <c r="I8" s="49">
        <v>0.39001663216666999</v>
      </c>
    </row>
    <row r="9" spans="1:13" ht="15.75" customHeight="1" x14ac:dyDescent="0.2">
      <c r="A9" s="59">
        <v>2002</v>
      </c>
      <c r="B9" s="61">
        <v>7385.66</v>
      </c>
      <c r="C9" s="59">
        <v>77.599999999999994</v>
      </c>
      <c r="D9" s="62">
        <f t="shared" si="0"/>
        <v>13705.348453608249</v>
      </c>
      <c r="E9" s="59">
        <v>368762</v>
      </c>
      <c r="F9" s="63">
        <v>1.1399999999999999</v>
      </c>
      <c r="H9" s="49" t="s">
        <v>574</v>
      </c>
      <c r="I9" s="49">
        <v>23599.0781901019</v>
      </c>
    </row>
    <row r="10" spans="1:13" ht="16.5" customHeight="1" x14ac:dyDescent="0.2">
      <c r="A10" s="59">
        <v>2003</v>
      </c>
      <c r="B10" s="61">
        <v>7753.37</v>
      </c>
      <c r="C10" s="59">
        <v>79.5</v>
      </c>
      <c r="D10" s="62">
        <f t="shared" si="0"/>
        <v>14043.84</v>
      </c>
      <c r="E10" s="59">
        <v>379882</v>
      </c>
      <c r="F10" s="63">
        <v>1.1499999999999999</v>
      </c>
      <c r="H10" s="64" t="s">
        <v>575</v>
      </c>
      <c r="I10" s="64">
        <v>31</v>
      </c>
    </row>
    <row r="11" spans="1:13" ht="15.75" customHeight="1" x14ac:dyDescent="0.2">
      <c r="A11" s="59">
        <v>2004</v>
      </c>
      <c r="B11" s="61">
        <v>8407.49</v>
      </c>
      <c r="C11" s="59">
        <v>81.5</v>
      </c>
      <c r="D11" s="62">
        <f t="shared" si="0"/>
        <v>14854.951656441719</v>
      </c>
      <c r="E11" s="59">
        <v>395507</v>
      </c>
      <c r="F11" s="63">
        <v>1.07</v>
      </c>
    </row>
    <row r="12" spans="1:13" ht="16.5" customHeight="1" x14ac:dyDescent="0.2">
      <c r="A12" s="59">
        <v>2005</v>
      </c>
      <c r="B12" s="61">
        <v>8158.63</v>
      </c>
      <c r="C12" s="59">
        <v>83.8</v>
      </c>
      <c r="D12" s="62">
        <f t="shared" si="0"/>
        <v>14019.602863961814</v>
      </c>
      <c r="E12" s="59">
        <v>407488</v>
      </c>
      <c r="F12" s="63">
        <v>1.22</v>
      </c>
      <c r="H12" s="49" t="s">
        <v>576</v>
      </c>
    </row>
    <row r="13" spans="1:13" ht="15.75" customHeight="1" x14ac:dyDescent="0.2">
      <c r="A13" s="59">
        <v>2006</v>
      </c>
      <c r="B13" s="61">
        <v>8858.7999999999993</v>
      </c>
      <c r="C13" s="59">
        <v>86.6</v>
      </c>
      <c r="D13" s="62">
        <f t="shared" si="0"/>
        <v>14730.568129330255</v>
      </c>
      <c r="E13" s="59">
        <v>418165</v>
      </c>
      <c r="F13" s="63">
        <v>1.35</v>
      </c>
      <c r="H13" s="2"/>
      <c r="I13" s="2" t="s">
        <v>577</v>
      </c>
      <c r="J13" s="2" t="s">
        <v>578</v>
      </c>
      <c r="K13" s="2" t="s">
        <v>579</v>
      </c>
      <c r="L13" s="2" t="s">
        <v>580</v>
      </c>
      <c r="M13" s="2" t="s">
        <v>581</v>
      </c>
    </row>
    <row r="14" spans="1:13" ht="15.75" customHeight="1" x14ac:dyDescent="0.2">
      <c r="A14" s="59">
        <v>2007</v>
      </c>
      <c r="B14" s="61">
        <v>9754</v>
      </c>
      <c r="C14" s="59">
        <v>89.1</v>
      </c>
      <c r="D14" s="62">
        <f t="shared" si="0"/>
        <v>15764.040404040405</v>
      </c>
      <c r="E14" s="59">
        <v>436310</v>
      </c>
      <c r="F14" s="63">
        <v>1.82</v>
      </c>
      <c r="H14" s="49" t="s">
        <v>582</v>
      </c>
      <c r="I14" s="49">
        <v>2</v>
      </c>
      <c r="J14" s="49">
        <v>11796420697.698</v>
      </c>
      <c r="K14" s="49">
        <v>5898210348.8489904</v>
      </c>
      <c r="L14" s="49">
        <v>10.5908344243553</v>
      </c>
      <c r="M14" s="49">
        <v>3.7580865766685499E-4</v>
      </c>
    </row>
    <row r="15" spans="1:13" ht="15.75" customHeight="1" x14ac:dyDescent="0.2">
      <c r="A15" s="59">
        <v>2008</v>
      </c>
      <c r="B15" s="65">
        <v>33584</v>
      </c>
      <c r="C15" s="59">
        <v>92.4</v>
      </c>
      <c r="D15" s="62">
        <f t="shared" si="0"/>
        <v>52338.701298701293</v>
      </c>
      <c r="E15" s="59">
        <v>447630</v>
      </c>
      <c r="F15" s="63">
        <v>2</v>
      </c>
      <c r="H15" s="49" t="s">
        <v>583</v>
      </c>
      <c r="I15" s="49">
        <v>28</v>
      </c>
      <c r="J15" s="49">
        <v>15593661759.8312</v>
      </c>
      <c r="K15" s="49">
        <v>556916491.42254102</v>
      </c>
    </row>
    <row r="16" spans="1:13" ht="16.5" customHeight="1" x14ac:dyDescent="0.2">
      <c r="A16" s="59">
        <v>2009</v>
      </c>
      <c r="B16" s="65">
        <v>50982</v>
      </c>
      <c r="C16" s="59">
        <v>94.3</v>
      </c>
      <c r="D16" s="62">
        <f t="shared" si="0"/>
        <v>77851.622481442202</v>
      </c>
      <c r="E16" s="59">
        <v>456424</v>
      </c>
      <c r="F16" s="63">
        <v>2.06</v>
      </c>
      <c r="H16" s="64" t="s">
        <v>584</v>
      </c>
      <c r="I16" s="64">
        <v>30</v>
      </c>
      <c r="J16" s="64">
        <v>27390082457.529099</v>
      </c>
      <c r="K16" s="64"/>
      <c r="L16" s="64"/>
      <c r="M16" s="64"/>
    </row>
    <row r="17" spans="1:16" ht="16.5" customHeight="1" x14ac:dyDescent="0.2">
      <c r="A17" s="59">
        <v>2010</v>
      </c>
      <c r="B17" s="65">
        <v>51827</v>
      </c>
      <c r="C17" s="59">
        <v>96.9</v>
      </c>
      <c r="D17" s="62">
        <f t="shared" si="0"/>
        <v>77018.452012383903</v>
      </c>
      <c r="E17" s="59">
        <v>467465</v>
      </c>
      <c r="F17" s="63">
        <v>1.56</v>
      </c>
    </row>
    <row r="18" spans="1:16" ht="15.75" customHeight="1" x14ac:dyDescent="0.2">
      <c r="A18" s="59">
        <v>2011</v>
      </c>
      <c r="B18" s="65">
        <v>54875</v>
      </c>
      <c r="C18" s="59">
        <v>99.8</v>
      </c>
      <c r="D18" s="62">
        <f t="shared" si="0"/>
        <v>79178.356713426852</v>
      </c>
      <c r="E18" s="59">
        <v>480487</v>
      </c>
      <c r="F18" s="63">
        <v>1.39</v>
      </c>
      <c r="H18" s="2"/>
      <c r="I18" s="2" t="s">
        <v>585</v>
      </c>
      <c r="J18" s="2" t="s">
        <v>574</v>
      </c>
      <c r="K18" s="2" t="s">
        <v>586</v>
      </c>
      <c r="L18" s="2" t="s">
        <v>587</v>
      </c>
      <c r="M18" s="2" t="s">
        <v>588</v>
      </c>
      <c r="N18" s="2" t="s">
        <v>589</v>
      </c>
      <c r="O18" s="2" t="s">
        <v>590</v>
      </c>
      <c r="P18" s="2" t="s">
        <v>591</v>
      </c>
    </row>
    <row r="19" spans="1:16" ht="15.75" customHeight="1" x14ac:dyDescent="0.2">
      <c r="A19" s="59">
        <v>2012</v>
      </c>
      <c r="B19" s="65">
        <v>58080</v>
      </c>
      <c r="C19" s="59">
        <v>102</v>
      </c>
      <c r="D19" s="62">
        <f t="shared" si="0"/>
        <v>81995.294117647063</v>
      </c>
      <c r="E19" s="59">
        <v>498692</v>
      </c>
      <c r="F19" s="63">
        <v>1.75</v>
      </c>
      <c r="H19" s="49" t="s">
        <v>592</v>
      </c>
      <c r="I19" s="49">
        <v>-49767.911943284198</v>
      </c>
      <c r="J19" s="49">
        <v>19958.437373378001</v>
      </c>
      <c r="K19" s="49">
        <v>-2.49357757885736</v>
      </c>
      <c r="L19" s="49">
        <v>1.8826300897024601E-2</v>
      </c>
      <c r="M19" s="49">
        <v>-90650.917597984793</v>
      </c>
      <c r="N19" s="49">
        <v>-8884.9062885836302</v>
      </c>
      <c r="O19" s="49">
        <v>-90650.917597984793</v>
      </c>
      <c r="P19" s="49">
        <v>-8884.9062885836302</v>
      </c>
    </row>
    <row r="20" spans="1:16" ht="15.75" customHeight="1" x14ac:dyDescent="0.2">
      <c r="A20" s="59">
        <v>2013</v>
      </c>
      <c r="B20" s="65">
        <v>57749</v>
      </c>
      <c r="C20" s="59">
        <v>104.8</v>
      </c>
      <c r="D20" s="62">
        <f t="shared" si="0"/>
        <v>79349.770992366408</v>
      </c>
      <c r="E20" s="59">
        <v>509758</v>
      </c>
      <c r="F20" s="63">
        <v>1.72</v>
      </c>
      <c r="H20" s="49" t="s">
        <v>567</v>
      </c>
      <c r="I20" s="49">
        <v>0.12763112106672</v>
      </c>
      <c r="J20" s="49">
        <v>3.9992641128152699E-2</v>
      </c>
      <c r="K20" s="49">
        <v>3.1913651478465201</v>
      </c>
      <c r="L20" s="49">
        <v>3.4803171015802799E-3</v>
      </c>
      <c r="M20" s="49">
        <v>4.5709909360557702E-2</v>
      </c>
      <c r="N20" s="49">
        <v>0.20955233277288199</v>
      </c>
      <c r="O20" s="49">
        <v>4.5709909360557702E-2</v>
      </c>
      <c r="P20" s="49">
        <v>0.20955233277288199</v>
      </c>
    </row>
    <row r="21" spans="1:16" ht="16.5" customHeight="1" x14ac:dyDescent="0.2">
      <c r="A21" s="59">
        <v>2014</v>
      </c>
      <c r="B21" s="65">
        <v>60181</v>
      </c>
      <c r="C21" s="59">
        <v>106.6</v>
      </c>
      <c r="D21" s="62">
        <f t="shared" si="0"/>
        <v>81295.159474671673</v>
      </c>
      <c r="E21" s="59">
        <v>522882</v>
      </c>
      <c r="F21" s="63">
        <v>1.49</v>
      </c>
      <c r="H21" s="64" t="s">
        <v>568</v>
      </c>
      <c r="I21" s="64">
        <v>20807.1095307586</v>
      </c>
      <c r="J21" s="64">
        <v>11055.7002822383</v>
      </c>
      <c r="K21" s="64">
        <v>1.8820254709859101</v>
      </c>
      <c r="L21" s="64">
        <v>7.0264748475129299E-2</v>
      </c>
      <c r="M21" s="64">
        <v>-1839.46588492606</v>
      </c>
      <c r="N21" s="64">
        <v>43453.684946443303</v>
      </c>
      <c r="O21" s="64">
        <v>-1839.46588492606</v>
      </c>
      <c r="P21" s="64">
        <v>43453.684946443303</v>
      </c>
    </row>
    <row r="22" spans="1:16" ht="15.75" customHeight="1" x14ac:dyDescent="0.2">
      <c r="A22" s="59">
        <v>2015</v>
      </c>
      <c r="B22" s="65">
        <v>62447</v>
      </c>
      <c r="C22" s="59">
        <v>108.4</v>
      </c>
      <c r="D22" s="62">
        <f t="shared" si="0"/>
        <v>82955.424354243543</v>
      </c>
      <c r="E22" s="59">
        <v>535118</v>
      </c>
      <c r="F22" s="63">
        <v>1.44</v>
      </c>
    </row>
    <row r="23" spans="1:16" ht="15.75" customHeight="1" x14ac:dyDescent="0.2">
      <c r="A23" s="59">
        <v>2016</v>
      </c>
      <c r="B23" s="65">
        <v>65981</v>
      </c>
      <c r="C23" s="59">
        <v>110</v>
      </c>
      <c r="D23" s="62">
        <f t="shared" si="0"/>
        <v>86375.127272727274</v>
      </c>
      <c r="E23" s="59">
        <v>549536</v>
      </c>
      <c r="F23" s="63">
        <v>1.56</v>
      </c>
    </row>
    <row r="24" spans="1:16" ht="15.75" customHeight="1" x14ac:dyDescent="0.2">
      <c r="A24" s="59">
        <v>2017</v>
      </c>
      <c r="B24" s="65">
        <v>64913</v>
      </c>
      <c r="C24" s="59">
        <v>112.1</v>
      </c>
      <c r="D24" s="62">
        <f t="shared" si="0"/>
        <v>83385.120428189126</v>
      </c>
      <c r="E24" s="59">
        <v>562614</v>
      </c>
      <c r="F24" s="63">
        <v>1.65</v>
      </c>
    </row>
    <row r="25" spans="1:16" ht="15.75" customHeight="1" x14ac:dyDescent="0.2">
      <c r="A25" s="59">
        <v>2018</v>
      </c>
      <c r="B25" s="65">
        <v>26763</v>
      </c>
      <c r="C25" s="59">
        <v>114.1</v>
      </c>
      <c r="D25" s="62">
        <f t="shared" si="0"/>
        <v>33776.266432953555</v>
      </c>
      <c r="E25" s="59">
        <v>578318</v>
      </c>
      <c r="F25" s="63">
        <v>1.5</v>
      </c>
      <c r="J25" s="66"/>
      <c r="K25" s="66"/>
      <c r="L25" s="66"/>
      <c r="M25" s="66"/>
    </row>
    <row r="26" spans="1:16" ht="15.75" customHeight="1" x14ac:dyDescent="0.2">
      <c r="A26" s="59">
        <v>2019</v>
      </c>
      <c r="B26" s="65">
        <v>27920</v>
      </c>
      <c r="C26" s="59">
        <v>116.2</v>
      </c>
      <c r="D26" s="62">
        <f t="shared" si="0"/>
        <v>34599.655765920827</v>
      </c>
      <c r="E26" s="59">
        <v>589512</v>
      </c>
      <c r="F26" s="63">
        <v>1.48</v>
      </c>
    </row>
    <row r="27" spans="1:16" ht="15.75" customHeight="1" x14ac:dyDescent="0.2">
      <c r="A27" s="59">
        <v>2020</v>
      </c>
      <c r="B27" s="65">
        <v>30846</v>
      </c>
      <c r="C27" s="59">
        <v>117.2</v>
      </c>
      <c r="D27" s="62">
        <f t="shared" si="0"/>
        <v>37899.522184300338</v>
      </c>
      <c r="E27" s="59">
        <v>577992</v>
      </c>
      <c r="F27" s="63">
        <v>1.23</v>
      </c>
    </row>
    <row r="28" spans="1:16" ht="15.75" customHeight="1" x14ac:dyDescent="0.2">
      <c r="A28" s="59">
        <v>2021</v>
      </c>
      <c r="B28" s="65">
        <v>33941</v>
      </c>
      <c r="C28" s="59">
        <v>121.3</v>
      </c>
      <c r="D28" s="62">
        <f t="shared" si="0"/>
        <v>40292.695795548228</v>
      </c>
      <c r="E28" s="59">
        <v>609318</v>
      </c>
      <c r="F28" s="63">
        <v>0.14000000000000001</v>
      </c>
    </row>
    <row r="29" spans="1:16" ht="15.75" customHeight="1" x14ac:dyDescent="0.2">
      <c r="A29" s="59">
        <v>2022</v>
      </c>
      <c r="B29" s="65">
        <v>36838</v>
      </c>
      <c r="C29" s="59">
        <v>130.80000000000001</v>
      </c>
      <c r="D29" s="62">
        <f t="shared" si="0"/>
        <v>40555.596330275228</v>
      </c>
      <c r="E29" s="59">
        <v>634519</v>
      </c>
      <c r="F29" s="63">
        <v>1.27</v>
      </c>
    </row>
    <row r="30" spans="1:16" ht="15.75" customHeight="1" x14ac:dyDescent="0.2">
      <c r="A30" s="59">
        <v>2023</v>
      </c>
      <c r="B30" s="65">
        <v>43550</v>
      </c>
      <c r="C30" s="59">
        <v>136.1</v>
      </c>
      <c r="D30" s="62">
        <f t="shared" si="0"/>
        <v>46077.883908890522</v>
      </c>
      <c r="E30" s="59">
        <v>647548</v>
      </c>
      <c r="F30" s="63">
        <v>2.42</v>
      </c>
    </row>
    <row r="31" spans="1:16" ht="15.75" customHeight="1" x14ac:dyDescent="0.2">
      <c r="A31" s="59">
        <v>2024</v>
      </c>
      <c r="B31" s="65">
        <v>44189</v>
      </c>
      <c r="C31" s="59">
        <v>139.4</v>
      </c>
      <c r="D31" s="62">
        <f t="shared" si="0"/>
        <v>45647.173601147777</v>
      </c>
      <c r="E31" s="59">
        <v>654212</v>
      </c>
      <c r="F31" s="63">
        <v>2.0499999999999998</v>
      </c>
    </row>
    <row r="32" spans="1:16" ht="15.75" customHeight="1" x14ac:dyDescent="0.2">
      <c r="A32" s="59">
        <v>2025</v>
      </c>
      <c r="B32" s="65">
        <v>45700</v>
      </c>
      <c r="C32" s="59">
        <v>144</v>
      </c>
      <c r="D32" s="62">
        <f t="shared" si="0"/>
        <v>45700</v>
      </c>
      <c r="E32" s="59">
        <v>656388</v>
      </c>
      <c r="F32" s="63">
        <v>1.6</v>
      </c>
    </row>
    <row r="34" spans="1:10" ht="15" customHeight="1" x14ac:dyDescent="0.2">
      <c r="H34" s="49" t="s">
        <v>593</v>
      </c>
    </row>
    <row r="35" spans="1:10" ht="15.75" customHeight="1" x14ac:dyDescent="0.2">
      <c r="H35" s="67" t="s">
        <v>554</v>
      </c>
      <c r="I35" s="67" t="s">
        <v>594</v>
      </c>
      <c r="J35" s="59" t="s">
        <v>568</v>
      </c>
    </row>
    <row r="36" spans="1:10" ht="15.75" customHeight="1" x14ac:dyDescent="0.2">
      <c r="A36" s="59" t="s">
        <v>563</v>
      </c>
      <c r="B36" s="59" t="s">
        <v>567</v>
      </c>
      <c r="C36" s="59" t="s">
        <v>568</v>
      </c>
      <c r="D36" s="49" t="s">
        <v>595</v>
      </c>
      <c r="E36" s="59" t="s">
        <v>596</v>
      </c>
      <c r="F36" s="49" t="s">
        <v>564</v>
      </c>
      <c r="H36" s="67">
        <v>2021</v>
      </c>
      <c r="I36" s="59">
        <v>5.42</v>
      </c>
      <c r="J36" s="63">
        <v>0.14000000000000001</v>
      </c>
    </row>
    <row r="37" spans="1:10" ht="15.75" customHeight="1" x14ac:dyDescent="0.2">
      <c r="A37" s="59">
        <v>2026</v>
      </c>
      <c r="B37" s="68">
        <f>E32*I43</f>
        <v>673414.70472000004</v>
      </c>
      <c r="C37" s="69">
        <f>J$41</f>
        <v>1.496</v>
      </c>
      <c r="D37" s="62">
        <f>I19+(I20*B37)+(I21*C37)</f>
        <v>67308.197620958497</v>
      </c>
      <c r="E37" s="59">
        <v>2.5</v>
      </c>
      <c r="F37" s="62">
        <f>D37*E43</f>
        <v>68990.90256148245</v>
      </c>
      <c r="G37" s="70"/>
      <c r="H37" s="59">
        <v>2022</v>
      </c>
      <c r="I37" s="59">
        <v>4.1399999999999997</v>
      </c>
      <c r="J37" s="63">
        <v>1.27</v>
      </c>
    </row>
    <row r="38" spans="1:10" ht="15.75" customHeight="1" x14ac:dyDescent="0.2">
      <c r="A38" s="59">
        <v>2027</v>
      </c>
      <c r="B38" s="68">
        <f>B37*I43</f>
        <v>690883.0821604369</v>
      </c>
      <c r="C38" s="69">
        <f>J$41</f>
        <v>1.496</v>
      </c>
      <c r="D38" s="62">
        <f>I19+(I20*B38)+(I21*C38)</f>
        <v>69537.706216898063</v>
      </c>
      <c r="E38" s="59">
        <v>2.5</v>
      </c>
      <c r="F38" s="62">
        <f>D38*E43</f>
        <v>71276.148872320511</v>
      </c>
      <c r="G38" s="70"/>
      <c r="H38" s="59">
        <v>2023</v>
      </c>
      <c r="I38" s="59">
        <v>2.0499999999999998</v>
      </c>
      <c r="J38" s="63">
        <v>2.42</v>
      </c>
    </row>
    <row r="39" spans="1:10" ht="15.75" customHeight="1" x14ac:dyDescent="0.2">
      <c r="A39" s="59">
        <v>2028</v>
      </c>
      <c r="B39" s="68">
        <f>B38*I43</f>
        <v>708804.58931167866</v>
      </c>
      <c r="C39" s="69">
        <f>J$41</f>
        <v>1.496</v>
      </c>
      <c r="D39" s="62">
        <f>I19+(I20*B39)+(I21*C39)</f>
        <v>71825.04826581628</v>
      </c>
      <c r="E39" s="59">
        <v>2.5</v>
      </c>
      <c r="F39" s="62">
        <f>D39*E43</f>
        <v>73620.674472461687</v>
      </c>
      <c r="G39" s="70"/>
      <c r="H39" s="59">
        <v>2024</v>
      </c>
      <c r="I39" s="59">
        <v>1.03</v>
      </c>
      <c r="J39" s="63">
        <v>2.0499999999999998</v>
      </c>
    </row>
    <row r="40" spans="1:10" ht="15.75" customHeight="1" x14ac:dyDescent="0.2">
      <c r="A40" s="59">
        <v>2029</v>
      </c>
      <c r="B40" s="68">
        <f>B39*I43</f>
        <v>727190.98035842367</v>
      </c>
      <c r="C40" s="69">
        <f>J$41</f>
        <v>1.496</v>
      </c>
      <c r="D40" s="62">
        <f>I19+(I20*B40)+(I21*C40)</f>
        <v>74171.723967483456</v>
      </c>
      <c r="E40" s="59">
        <v>2.5</v>
      </c>
      <c r="F40" s="62">
        <f>D40*E43</f>
        <v>76026.017066670538</v>
      </c>
      <c r="G40" s="70"/>
      <c r="H40" s="59">
        <v>2025</v>
      </c>
      <c r="I40" s="59">
        <v>0.33</v>
      </c>
      <c r="J40" s="63">
        <v>1.6</v>
      </c>
    </row>
    <row r="41" spans="1:10" ht="15.75" customHeight="1" x14ac:dyDescent="0.2">
      <c r="A41" s="59">
        <v>2030</v>
      </c>
      <c r="B41" s="68">
        <f>B40*I43</f>
        <v>746054.31438892125</v>
      </c>
      <c r="C41" s="69">
        <f>J$41</f>
        <v>1.496</v>
      </c>
      <c r="D41" s="62">
        <f>I19+(I20*B41)+(I21*C41)</f>
        <v>76579.272436851868</v>
      </c>
      <c r="E41" s="59">
        <v>2.5</v>
      </c>
      <c r="F41" s="62">
        <f>D41*E43</f>
        <v>78493.754247773162</v>
      </c>
      <c r="G41" s="70"/>
      <c r="H41" s="49" t="s">
        <v>561</v>
      </c>
      <c r="I41" s="49">
        <f>AVERAGE(I36:I40)</f>
        <v>2.5939999999999999</v>
      </c>
      <c r="J41" s="71">
        <f>AVERAGE(J36:J40)</f>
        <v>1.496</v>
      </c>
    </row>
    <row r="42" spans="1:10" ht="15.75" customHeight="1" x14ac:dyDescent="0.2">
      <c r="D42" s="59" t="s">
        <v>597</v>
      </c>
      <c r="E42" s="59">
        <v>2.5000000000000001E-2</v>
      </c>
      <c r="H42" s="59" t="s">
        <v>598</v>
      </c>
      <c r="I42" s="59">
        <v>2.5940000000000001E-2</v>
      </c>
    </row>
    <row r="43" spans="1:10" ht="15.75" customHeight="1" x14ac:dyDescent="0.2">
      <c r="D43" s="59" t="s">
        <v>599</v>
      </c>
      <c r="E43" s="59">
        <v>1.0249999999999999</v>
      </c>
      <c r="H43" s="59" t="s">
        <v>600</v>
      </c>
      <c r="I43" s="59">
        <v>1.0259400000000001</v>
      </c>
    </row>
    <row r="47" spans="1:10" ht="15" customHeight="1" x14ac:dyDescent="0.2">
      <c r="B47" s="49" t="s">
        <v>601</v>
      </c>
    </row>
    <row r="48" spans="1:10" ht="15" customHeight="1" x14ac:dyDescent="0.2">
      <c r="B48" s="72" t="s">
        <v>602</v>
      </c>
    </row>
    <row r="49" spans="2:13" ht="38.25" customHeight="1" x14ac:dyDescent="0.2">
      <c r="B49" s="140" t="s">
        <v>603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</row>
    <row r="50" spans="2:13" ht="32.25" customHeight="1" x14ac:dyDescent="0.2">
      <c r="B50" s="140" t="s">
        <v>604</v>
      </c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</row>
    <row r="51" spans="2:13" ht="30" customHeight="1" x14ac:dyDescent="0.2">
      <c r="B51" s="140" t="s">
        <v>605</v>
      </c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</row>
  </sheetData>
  <mergeCells count="4">
    <mergeCell ref="H5:I5"/>
    <mergeCell ref="B49:M49"/>
    <mergeCell ref="B50:M50"/>
    <mergeCell ref="B51:M5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3"/>
  <sheetViews>
    <sheetView zoomScaleNormal="100" workbookViewId="0">
      <selection activeCell="L43" sqref="L43"/>
    </sheetView>
  </sheetViews>
  <sheetFormatPr baseColWidth="10" defaultColWidth="8.83203125" defaultRowHeight="15" x14ac:dyDescent="0.2"/>
  <cols>
    <col min="1" max="1" width="19.83203125" customWidth="1"/>
    <col min="8" max="8" width="28.1640625" customWidth="1"/>
    <col min="11" max="11" width="17.33203125" customWidth="1"/>
    <col min="14" max="14" width="17.83203125" customWidth="1"/>
  </cols>
  <sheetData>
    <row r="1" spans="1:14" ht="15" customHeight="1" x14ac:dyDescent="0.2">
      <c r="A1" s="73" t="s">
        <v>606</v>
      </c>
      <c r="B1" s="74">
        <v>2026</v>
      </c>
      <c r="C1" s="74">
        <v>2027</v>
      </c>
      <c r="D1" s="74">
        <v>2028</v>
      </c>
      <c r="E1" s="74">
        <v>2029</v>
      </c>
      <c r="F1" s="74">
        <v>2030</v>
      </c>
      <c r="H1" s="75" t="s">
        <v>606</v>
      </c>
      <c r="I1" s="76">
        <v>2026</v>
      </c>
      <c r="J1" s="76">
        <v>2027</v>
      </c>
      <c r="K1" s="76">
        <v>2028</v>
      </c>
      <c r="L1" s="76">
        <v>2029</v>
      </c>
      <c r="M1" s="76">
        <v>2030</v>
      </c>
      <c r="N1" s="77"/>
    </row>
    <row r="2" spans="1:14" ht="15.75" customHeight="1" x14ac:dyDescent="0.2">
      <c r="A2" s="78" t="s">
        <v>607</v>
      </c>
      <c r="B2" s="79">
        <f>'Income Statement'!K79</f>
        <v>3098</v>
      </c>
      <c r="C2" s="79">
        <f>'Income Statement'!L79</f>
        <v>3365</v>
      </c>
      <c r="D2" s="79">
        <f>'Income Statement'!M79</f>
        <v>3577</v>
      </c>
      <c r="E2" s="79">
        <f>'Income Statement'!N79</f>
        <v>3786</v>
      </c>
      <c r="F2" s="79">
        <f>'Income Statement'!O79</f>
        <v>3998</v>
      </c>
      <c r="H2" s="80" t="s">
        <v>608</v>
      </c>
      <c r="I2" s="81">
        <f>B8</f>
        <v>3153</v>
      </c>
      <c r="J2" s="81">
        <f>C8</f>
        <v>3079</v>
      </c>
      <c r="K2" s="81">
        <f>D8</f>
        <v>3250</v>
      </c>
      <c r="L2" s="81">
        <f>E8</f>
        <v>3427</v>
      </c>
      <c r="M2" s="81">
        <f>F8</f>
        <v>3613</v>
      </c>
      <c r="N2" s="77"/>
    </row>
    <row r="3" spans="1:14" ht="15.75" customHeight="1" x14ac:dyDescent="0.2">
      <c r="A3" s="78" t="s">
        <v>609</v>
      </c>
      <c r="B3" s="82">
        <f>'Income Statement'!K29+'Income Statement'!K30</f>
        <v>1790</v>
      </c>
      <c r="C3" s="82">
        <f>'Income Statement'!L29+'Income Statement'!L30</f>
        <v>1868</v>
      </c>
      <c r="D3" s="82">
        <f>'Income Statement'!M29+'Income Statement'!M30</f>
        <v>1956</v>
      </c>
      <c r="E3" s="82">
        <f>'Income Statement'!N29+'Income Statement'!N30</f>
        <v>2050</v>
      </c>
      <c r="F3" s="82">
        <f>'Income Statement'!O29+'Income Statement'!O30</f>
        <v>2151</v>
      </c>
      <c r="H3" s="80" t="s">
        <v>610</v>
      </c>
      <c r="I3" s="83">
        <f>('Balance Sheet'!T116+'Balance Sheet'!T104)/'Balance Sheet'!T142</f>
        <v>1.0746735331984549</v>
      </c>
      <c r="J3" s="83">
        <f>('Balance Sheet'!U116+'Balance Sheet'!U104)/'Balance Sheet'!U142</f>
        <v>1.0215938303341903</v>
      </c>
      <c r="K3" s="83">
        <f>('Balance Sheet'!V116+'Balance Sheet'!V104)/'Balance Sheet'!V142</f>
        <v>0.9710816424348937</v>
      </c>
      <c r="L3" s="83">
        <f>('Balance Sheet'!W116+'Balance Sheet'!W104)/'Balance Sheet'!W142</f>
        <v>0.92381094379007012</v>
      </c>
      <c r="M3" s="83">
        <f>('Balance Sheet'!X116+'Balance Sheet'!X104)/'Balance Sheet'!X142</f>
        <v>0.87938718662952642</v>
      </c>
      <c r="N3" s="77"/>
    </row>
    <row r="4" spans="1:14" ht="15.75" customHeight="1" x14ac:dyDescent="0.2">
      <c r="A4" s="78" t="s">
        <v>611</v>
      </c>
      <c r="B4" s="84">
        <f>'Balance Sheet'!T35-'Balance Sheet'!T20-'Balance Sheet'!T113+'Balance Sheet'!T104-(('Balance Sheet'!G35-'Balance Sheet'!G20-'Balance Sheet'!G113+'Balance Sheet'!G104))</f>
        <v>-316</v>
      </c>
      <c r="C4" s="84">
        <f>'Balance Sheet'!U35-'Balance Sheet'!U20-'Balance Sheet'!U113+'Balance Sheet'!U104-(('Balance Sheet'!T35-'Balance Sheet'!T20-'Balance Sheet'!T113+'Balance Sheet'!T104))</f>
        <v>110</v>
      </c>
      <c r="D4" s="84">
        <f>'Balance Sheet'!V35-'Balance Sheet'!V20-'Balance Sheet'!V113+'Balance Sheet'!V104-(('Balance Sheet'!U35-'Balance Sheet'!U20-'Balance Sheet'!U113+'Balance Sheet'!U104))</f>
        <v>111</v>
      </c>
      <c r="E4" s="84">
        <f>'Balance Sheet'!W35-'Balance Sheet'!W20-'Balance Sheet'!W113+'Balance Sheet'!W104-(('Balance Sheet'!V35-'Balance Sheet'!V20-'Balance Sheet'!V113+'Balance Sheet'!V104))</f>
        <v>111</v>
      </c>
      <c r="F4" s="84">
        <f>'Balance Sheet'!X35-'Balance Sheet'!X20-'Balance Sheet'!X113+'Balance Sheet'!X104-(('Balance Sheet'!W35-'Balance Sheet'!W20-'Balance Sheet'!W113+'Balance Sheet'!W104))</f>
        <v>110</v>
      </c>
      <c r="H4" s="80" t="s">
        <v>612</v>
      </c>
      <c r="I4" s="83">
        <v>0.50070000000000003</v>
      </c>
      <c r="J4" s="83">
        <v>0.50070000000000003</v>
      </c>
      <c r="K4" s="83">
        <v>0.50070000000000003</v>
      </c>
      <c r="L4" s="83">
        <v>0.50070000000000003</v>
      </c>
      <c r="M4" s="83">
        <v>0.50070000000000003</v>
      </c>
      <c r="N4" s="77"/>
    </row>
    <row r="5" spans="1:14" ht="15.75" customHeight="1" x14ac:dyDescent="0.2">
      <c r="A5" s="78" t="s">
        <v>613</v>
      </c>
      <c r="B5" s="84">
        <f>'Balance Sheet'!T41-'Balance Sheet'!G41+'Income Statement'!K30</f>
        <v>2064</v>
      </c>
      <c r="C5" s="84">
        <f>'Balance Sheet'!U41-'Balance Sheet'!T41+'Income Statement'!L30</f>
        <v>2191</v>
      </c>
      <c r="D5" s="84">
        <f>'Balance Sheet'!V41-'Balance Sheet'!U41+'Income Statement'!M30</f>
        <v>2319</v>
      </c>
      <c r="E5" s="84">
        <f>'Balance Sheet'!W41-'Balance Sheet'!V41+'Income Statement'!N30</f>
        <v>2446</v>
      </c>
      <c r="F5" s="84">
        <f>'Balance Sheet'!X41-'Balance Sheet'!W41+'Income Statement'!O30</f>
        <v>2573</v>
      </c>
      <c r="H5" s="80" t="s">
        <v>614</v>
      </c>
      <c r="I5" s="83">
        <f>0.5007*(1+0.7103*('Balance Sheet'!T116+'Balance Sheet'!T104)/'Balance Sheet'!T142)</f>
        <v>0.88290464374287303</v>
      </c>
      <c r="J5" s="83">
        <f>0.5007*(1+0.7103*('Balance Sheet'!U116+'Balance Sheet'!U104)/'Balance Sheet'!U142)</f>
        <v>0.86402699551156825</v>
      </c>
      <c r="K5" s="83">
        <f>0.5007*(1+0.7103*('Balance Sheet'!V116+'Balance Sheet'!V104)/'Balance Sheet'!V142)</f>
        <v>0.84606247681418767</v>
      </c>
      <c r="L5" s="83">
        <f>0.5007*(1+0.7103*('Balance Sheet'!W116+'Balance Sheet'!W104)/'Balance Sheet'!W142)</f>
        <v>0.82925078472640534</v>
      </c>
      <c r="M5" s="83">
        <f>0.5007*(1+0.7103*('Balance Sheet'!X116+'Balance Sheet'!X104)/'Balance Sheet'!X142)</f>
        <v>0.81345159943454048</v>
      </c>
      <c r="N5" s="77"/>
    </row>
    <row r="6" spans="1:14" ht="15.75" customHeight="1" x14ac:dyDescent="0.2">
      <c r="A6" s="78" t="s">
        <v>615</v>
      </c>
      <c r="B6" s="84">
        <f>('Balance Sheet'!T116+'Balance Sheet'!T104)-('Balance Sheet'!G116+'Balance Sheet'!G104)</f>
        <v>-25</v>
      </c>
      <c r="C6" s="84">
        <f>('Balance Sheet'!U116+'Balance Sheet'!U104)-('Balance Sheet'!T116+'Balance Sheet'!T104)</f>
        <v>118</v>
      </c>
      <c r="D6" s="84">
        <f>('Balance Sheet'!V116+'Balance Sheet'!V104)-('Balance Sheet'!U116+'Balance Sheet'!U104)</f>
        <v>117</v>
      </c>
      <c r="E6" s="84">
        <f>('Balance Sheet'!W116+'Balance Sheet'!W104)-('Balance Sheet'!V116+'Balance Sheet'!V104)</f>
        <v>118</v>
      </c>
      <c r="F6" s="84">
        <f>('Balance Sheet'!X116+'Balance Sheet'!X104)-('Balance Sheet'!W116+'Balance Sheet'!W104)</f>
        <v>118</v>
      </c>
      <c r="H6" s="80" t="s">
        <v>616</v>
      </c>
      <c r="I6" s="85">
        <v>2.7089999999999999E-2</v>
      </c>
      <c r="J6" s="85">
        <v>2.7089999999999999E-2</v>
      </c>
      <c r="K6" s="85">
        <v>2.7089999999999999E-2</v>
      </c>
      <c r="L6" s="85">
        <v>2.7089999999999999E-2</v>
      </c>
      <c r="M6" s="85">
        <v>2.7089999999999999E-2</v>
      </c>
      <c r="N6" s="77"/>
    </row>
    <row r="7" spans="1:14" ht="15.75" customHeight="1" x14ac:dyDescent="0.2">
      <c r="A7" s="78" t="s">
        <v>617</v>
      </c>
      <c r="B7" s="82">
        <f>'Balance Sheet'!T120-'Balance Sheet'!G120</f>
        <v>38</v>
      </c>
      <c r="C7" s="82">
        <f>'Balance Sheet'!U120-'Balance Sheet'!T120</f>
        <v>29</v>
      </c>
      <c r="D7" s="82">
        <f>'Balance Sheet'!V120-'Balance Sheet'!U120</f>
        <v>30</v>
      </c>
      <c r="E7" s="82">
        <f>'Balance Sheet'!W120-'Balance Sheet'!V120</f>
        <v>30</v>
      </c>
      <c r="F7" s="82">
        <f>'Balance Sheet'!X120-'Balance Sheet'!W120</f>
        <v>29</v>
      </c>
      <c r="H7" s="80" t="s">
        <v>618</v>
      </c>
      <c r="I7" s="85">
        <v>7.7329999999999996E-2</v>
      </c>
      <c r="J7" s="85">
        <v>7.7329999999999996E-2</v>
      </c>
      <c r="K7" s="85">
        <v>7.7329999999999996E-2</v>
      </c>
      <c r="L7" s="85">
        <v>7.7329999999999996E-2</v>
      </c>
      <c r="M7" s="85">
        <v>7.7329999999999996E-2</v>
      </c>
      <c r="N7" s="77"/>
    </row>
    <row r="8" spans="1:14" ht="15" customHeight="1" x14ac:dyDescent="0.2">
      <c r="A8" s="86" t="s">
        <v>608</v>
      </c>
      <c r="B8" s="82">
        <f>B2+B3-B4-B5+B6+B7</f>
        <v>3153</v>
      </c>
      <c r="C8" s="82">
        <f>C2+C3-C4-C5+C6+C7</f>
        <v>3079</v>
      </c>
      <c r="D8" s="82">
        <f>D2+D3-D4-D5+D6+D7</f>
        <v>3250</v>
      </c>
      <c r="E8" s="82">
        <f>E2+E3-E4-E5+E6+E7</f>
        <v>3427</v>
      </c>
      <c r="F8" s="82">
        <f>F2+F3-F4-F5+F6+F7</f>
        <v>3613</v>
      </c>
      <c r="H8" s="80" t="s">
        <v>619</v>
      </c>
      <c r="I8" s="85">
        <f>I6+I5*I7</f>
        <v>9.5365016100636371E-2</v>
      </c>
      <c r="J8" s="85">
        <f>J6+J5*J7</f>
        <v>9.3905207562909571E-2</v>
      </c>
      <c r="K8" s="85">
        <f>K6+K5*K7</f>
        <v>9.2516011332041126E-2</v>
      </c>
      <c r="L8" s="85">
        <f>L6+L5*L7</f>
        <v>9.121596318289292E-2</v>
      </c>
      <c r="M8" s="85">
        <f>M6+M5*M7</f>
        <v>8.9994212184273017E-2</v>
      </c>
      <c r="N8" s="77"/>
    </row>
    <row r="9" spans="1:14" ht="15.75" customHeight="1" x14ac:dyDescent="0.2">
      <c r="A9" s="78" t="s">
        <v>620</v>
      </c>
      <c r="B9" s="87">
        <f>'Balance Sheet'!G142+'Income Statement'!K79-'Balance Sheet'!T142</f>
        <v>2731</v>
      </c>
      <c r="C9" s="87">
        <f>'Balance Sheet'!T142+'Income Statement'!L79-'Balance Sheet'!U142</f>
        <v>2967</v>
      </c>
      <c r="D9" s="87">
        <f>'Balance Sheet'!U142+'Income Statement'!M79-'Balance Sheet'!V142</f>
        <v>3153</v>
      </c>
      <c r="E9" s="87">
        <f>'Balance Sheet'!V142+'Income Statement'!N79-'Balance Sheet'!W142</f>
        <v>3338</v>
      </c>
      <c r="F9" s="87">
        <f>'Balance Sheet'!W142+'Income Statement'!O79-'Balance Sheet'!X142</f>
        <v>3525</v>
      </c>
      <c r="H9" s="80" t="s">
        <v>621</v>
      </c>
      <c r="I9" s="88">
        <f>I2/(1+I8)^1</f>
        <v>2878.4925149648188</v>
      </c>
      <c r="J9" s="88">
        <f>J2/(1+J8)^2</f>
        <v>2573.0623452740024</v>
      </c>
      <c r="K9" s="88">
        <f>K2/(1+K8)^3</f>
        <v>2492.2977737397246</v>
      </c>
      <c r="L9" s="88">
        <f>L2/(1+L8)^4</f>
        <v>2416.9700127197775</v>
      </c>
      <c r="M9" s="88">
        <f>M2/(1+M8)^5</f>
        <v>2348.2644435470261</v>
      </c>
      <c r="N9" s="77"/>
    </row>
    <row r="10" spans="1:14" ht="15" customHeight="1" x14ac:dyDescent="0.2">
      <c r="B10" s="89"/>
      <c r="C10" s="89"/>
      <c r="D10" s="89"/>
      <c r="E10" s="89"/>
      <c r="F10" s="89"/>
      <c r="H10" s="80" t="s">
        <v>622</v>
      </c>
      <c r="I10" s="85">
        <v>1.2500000000000001E-2</v>
      </c>
      <c r="J10" s="85">
        <v>1.2500000000000001E-2</v>
      </c>
      <c r="K10" s="85">
        <v>1.2500000000000001E-2</v>
      </c>
      <c r="L10" s="85">
        <v>1.2500000000000001E-2</v>
      </c>
      <c r="M10" s="85">
        <v>1.2500000000000001E-2</v>
      </c>
      <c r="N10" s="77"/>
    </row>
    <row r="11" spans="1:14" ht="15" customHeight="1" x14ac:dyDescent="0.2">
      <c r="H11" s="80" t="s">
        <v>623</v>
      </c>
      <c r="I11" s="77"/>
      <c r="J11" s="77"/>
      <c r="K11" s="77"/>
      <c r="L11" s="77"/>
      <c r="M11" s="77"/>
      <c r="N11" s="88">
        <f>M2*(1+M10)/(M8-M10)</f>
        <v>47205.622160546358</v>
      </c>
    </row>
    <row r="12" spans="1:14" ht="15" customHeight="1" x14ac:dyDescent="0.2">
      <c r="A12" s="73" t="s">
        <v>624</v>
      </c>
      <c r="B12" s="74">
        <v>2026</v>
      </c>
      <c r="C12" s="74">
        <v>2027</v>
      </c>
      <c r="D12" s="74">
        <v>2028</v>
      </c>
      <c r="E12" s="74">
        <v>2029</v>
      </c>
      <c r="F12" s="74">
        <v>2030</v>
      </c>
      <c r="H12" s="80" t="s">
        <v>625</v>
      </c>
      <c r="I12" s="77"/>
      <c r="J12" s="77"/>
      <c r="K12" s="77"/>
      <c r="L12" s="77"/>
      <c r="M12" s="77"/>
      <c r="N12" s="88">
        <f>N11/(1+M8)^5</f>
        <v>30681.230018025621</v>
      </c>
    </row>
    <row r="13" spans="1:14" ht="15.75" customHeight="1" x14ac:dyDescent="0.2">
      <c r="A13" s="78" t="s">
        <v>607</v>
      </c>
      <c r="B13" s="79">
        <f>'Income Statement'!K79</f>
        <v>3098</v>
      </c>
      <c r="C13" s="79">
        <f>'Income Statement'!L79</f>
        <v>3365</v>
      </c>
      <c r="D13" s="79">
        <f>'Income Statement'!M79</f>
        <v>3577</v>
      </c>
      <c r="E13" s="79">
        <f>'Income Statement'!N79</f>
        <v>3786</v>
      </c>
      <c r="F13" s="79">
        <f>'Income Statement'!O79</f>
        <v>3998</v>
      </c>
      <c r="H13" s="80" t="s">
        <v>626</v>
      </c>
      <c r="I13" s="77"/>
      <c r="J13" s="77"/>
      <c r="K13" s="77"/>
      <c r="L13" s="77"/>
      <c r="M13" s="77"/>
      <c r="N13" s="88">
        <f>SUM(I9:M9)+N12</f>
        <v>43390.317108270974</v>
      </c>
    </row>
    <row r="14" spans="1:14" ht="15.75" customHeight="1" x14ac:dyDescent="0.2">
      <c r="A14" s="78" t="s">
        <v>609</v>
      </c>
      <c r="B14" s="82">
        <f>'Income Statement'!K29+'Income Statement'!K30</f>
        <v>1790</v>
      </c>
      <c r="C14" s="82">
        <f>'Income Statement'!L29+'Income Statement'!L30</f>
        <v>1868</v>
      </c>
      <c r="D14" s="82">
        <f>'Income Statement'!M29+'Income Statement'!M30</f>
        <v>1956</v>
      </c>
      <c r="E14" s="82">
        <f>'Income Statement'!N29+'Income Statement'!N30</f>
        <v>2050</v>
      </c>
      <c r="F14" s="82">
        <f>'Income Statement'!O29+'Income Statement'!O30</f>
        <v>2151</v>
      </c>
      <c r="H14" s="80" t="s">
        <v>627</v>
      </c>
      <c r="I14" s="77"/>
      <c r="J14" s="77"/>
      <c r="K14" s="77"/>
      <c r="L14" s="77"/>
      <c r="M14" s="77"/>
      <c r="N14" s="90">
        <v>1140</v>
      </c>
    </row>
    <row r="15" spans="1:14" ht="15.75" customHeight="1" x14ac:dyDescent="0.2">
      <c r="A15" s="78" t="s">
        <v>611</v>
      </c>
      <c r="B15" s="84">
        <f>'Balance Sheet'!T35-'Balance Sheet'!T20-'Balance Sheet'!T113+'Balance Sheet'!T104-(('Balance Sheet'!G35-'Balance Sheet'!G20-'Balance Sheet'!G113+'Balance Sheet'!G104))</f>
        <v>-316</v>
      </c>
      <c r="C15" s="84">
        <f>'Balance Sheet'!U35-'Balance Sheet'!U20-'Balance Sheet'!U113+'Balance Sheet'!U104-(('Balance Sheet'!T35-'Balance Sheet'!T20-'Balance Sheet'!T113+'Balance Sheet'!T104))</f>
        <v>110</v>
      </c>
      <c r="D15" s="84">
        <f>'Balance Sheet'!V35-'Balance Sheet'!V20-'Balance Sheet'!V113+'Balance Sheet'!V104-(('Balance Sheet'!U35-'Balance Sheet'!U20-'Balance Sheet'!U113+'Balance Sheet'!U104))</f>
        <v>111</v>
      </c>
      <c r="E15" s="84">
        <f>'Balance Sheet'!W35-'Balance Sheet'!W20-'Balance Sheet'!W113+'Balance Sheet'!W104-(('Balance Sheet'!V35-'Balance Sheet'!V20-'Balance Sheet'!V113+'Balance Sheet'!V104))</f>
        <v>111</v>
      </c>
      <c r="F15" s="84">
        <f>'Balance Sheet'!X35-'Balance Sheet'!X20-'Balance Sheet'!X113+'Balance Sheet'!X104-(('Balance Sheet'!W35-'Balance Sheet'!W20-'Balance Sheet'!W113+'Balance Sheet'!W104))</f>
        <v>110</v>
      </c>
      <c r="H15" s="80" t="s">
        <v>628</v>
      </c>
      <c r="I15" s="77"/>
      <c r="J15" s="77"/>
      <c r="K15" s="77"/>
      <c r="L15" s="77"/>
      <c r="M15" s="77"/>
      <c r="N15" s="83">
        <f>N13/N14</f>
        <v>38.06168167392191</v>
      </c>
    </row>
    <row r="16" spans="1:14" ht="15.75" customHeight="1" x14ac:dyDescent="0.2">
      <c r="A16" s="78" t="s">
        <v>613</v>
      </c>
      <c r="B16" s="82">
        <f>'Balance Sheet'!T41-'Balance Sheet'!G41+'Income Statement'!K30</f>
        <v>2064</v>
      </c>
      <c r="C16" s="82">
        <f>'Balance Sheet'!U41-'Balance Sheet'!T41+'Income Statement'!L30</f>
        <v>2191</v>
      </c>
      <c r="D16" s="82">
        <f>'Balance Sheet'!V41-'Balance Sheet'!U41+'Income Statement'!M30</f>
        <v>2319</v>
      </c>
      <c r="E16" s="82">
        <f>'Balance Sheet'!W41-'Balance Sheet'!V41+'Income Statement'!N30</f>
        <v>2446</v>
      </c>
      <c r="F16" s="82">
        <f>'Balance Sheet'!X41-'Balance Sheet'!W41+'Income Statement'!O30</f>
        <v>2573</v>
      </c>
      <c r="H16" s="80" t="s">
        <v>629</v>
      </c>
      <c r="I16" s="77"/>
      <c r="J16" s="77"/>
      <c r="K16" s="77"/>
      <c r="L16" s="77"/>
      <c r="M16" s="77"/>
      <c r="N16" s="77">
        <v>73.47</v>
      </c>
    </row>
    <row r="17" spans="1:14" ht="15.75" customHeight="1" x14ac:dyDescent="0.2">
      <c r="A17" s="78" t="s">
        <v>630</v>
      </c>
      <c r="B17" s="82">
        <f>ROUND('Income Statement'!K50*0.7103,0)</f>
        <v>329</v>
      </c>
      <c r="C17" s="82">
        <f>ROUND('Income Statement'!L50*0.7103,0)</f>
        <v>274</v>
      </c>
      <c r="D17" s="82">
        <f>ROUND('Income Statement'!M50*0.7103,0)</f>
        <v>274</v>
      </c>
      <c r="E17" s="82">
        <f>ROUND('Income Statement'!N50*0.7103,0)</f>
        <v>274</v>
      </c>
      <c r="F17" s="82">
        <f>ROUND('Income Statement'!O50*0.7103,0)</f>
        <v>274</v>
      </c>
      <c r="H17" s="91" t="s">
        <v>631</v>
      </c>
      <c r="I17" s="77"/>
      <c r="J17" s="77"/>
      <c r="K17" s="77"/>
      <c r="L17" s="77"/>
      <c r="M17" s="77"/>
      <c r="N17" s="77" t="str">
        <f>IF(N15&gt;N16,"BUY","SELL")</f>
        <v>SELL</v>
      </c>
    </row>
    <row r="18" spans="1:14" ht="15.75" customHeight="1" x14ac:dyDescent="0.2">
      <c r="A18" s="78" t="s">
        <v>617</v>
      </c>
      <c r="B18" s="82">
        <f>'Balance Sheet'!T120-'Balance Sheet'!G120</f>
        <v>38</v>
      </c>
      <c r="C18" s="82">
        <f>'Balance Sheet'!U120-'Balance Sheet'!T120</f>
        <v>29</v>
      </c>
      <c r="D18" s="82">
        <f>'Balance Sheet'!V120-'Balance Sheet'!U120</f>
        <v>30</v>
      </c>
      <c r="E18" s="82">
        <f>'Balance Sheet'!W120-'Balance Sheet'!V120</f>
        <v>30</v>
      </c>
      <c r="F18" s="82">
        <f>'Balance Sheet'!X120-'Balance Sheet'!W120</f>
        <v>29</v>
      </c>
      <c r="H18" s="80" t="s">
        <v>619</v>
      </c>
      <c r="I18" s="92">
        <f>I8</f>
        <v>9.5365016100636371E-2</v>
      </c>
      <c r="J18" s="92">
        <f>J8</f>
        <v>9.3905207562909571E-2</v>
      </c>
      <c r="K18" s="92">
        <f>K8</f>
        <v>9.2516011332041126E-2</v>
      </c>
      <c r="L18" s="92">
        <f>L8</f>
        <v>9.121596318289292E-2</v>
      </c>
      <c r="M18" s="92">
        <f>M8</f>
        <v>8.9994212184273017E-2</v>
      </c>
    </row>
    <row r="19" spans="1:14" ht="15" customHeight="1" x14ac:dyDescent="0.2">
      <c r="A19" s="86" t="s">
        <v>632</v>
      </c>
      <c r="B19" s="82">
        <f>B13+B14-B15-B16+B17+B18</f>
        <v>3507</v>
      </c>
      <c r="C19" s="82">
        <f>C13+C14-C15-C16+C17+C18</f>
        <v>3235</v>
      </c>
      <c r="D19" s="82">
        <f>D13+D14-D15-D16+D17+D18</f>
        <v>3407</v>
      </c>
      <c r="E19" s="82">
        <f>E13+E14-E15-E16+E17+E18</f>
        <v>3583</v>
      </c>
      <c r="F19" s="82">
        <f>F13+F14-F15-F16+F17+F18</f>
        <v>3769</v>
      </c>
      <c r="H19" s="80" t="s">
        <v>633</v>
      </c>
      <c r="I19" s="80">
        <v>5437</v>
      </c>
      <c r="J19" s="80">
        <v>5835</v>
      </c>
      <c r="K19" s="80">
        <v>6259</v>
      </c>
      <c r="L19" s="80">
        <v>6707</v>
      </c>
      <c r="M19" s="80">
        <v>7180</v>
      </c>
    </row>
    <row r="20" spans="1:14" ht="15" customHeight="1" x14ac:dyDescent="0.2">
      <c r="A20" s="93" t="s">
        <v>634</v>
      </c>
      <c r="B20" s="94">
        <f>'Balance Sheet'!G142+'Balance Sheet'!G116+'Balance Sheet'!G104+'Income Statement'!K79+ROUND('Income Statement'!K50*0.7103,0)-('Balance Sheet'!T142+'Balance Sheet'!T116+'Balance Sheet'!T104)</f>
        <v>3085</v>
      </c>
      <c r="C20" s="94">
        <f>'Balance Sheet'!T142+'Balance Sheet'!T116+'Balance Sheet'!T104+'Income Statement'!L79+ROUND('Income Statement'!L50*0.7103,0)-('Balance Sheet'!U142+'Balance Sheet'!U116+'Balance Sheet'!U104)</f>
        <v>3123</v>
      </c>
      <c r="D20" s="94">
        <f>'Balance Sheet'!U142+'Balance Sheet'!U116+'Balance Sheet'!U104+'Income Statement'!M79+ROUND('Income Statement'!M50*0.7103,0)-('Balance Sheet'!V142+'Balance Sheet'!V116+'Balance Sheet'!V104)</f>
        <v>3310</v>
      </c>
      <c r="E20" s="94">
        <f>'Balance Sheet'!V142+'Balance Sheet'!V116+'Balance Sheet'!V104+'Income Statement'!N79+ROUND('Income Statement'!N50*0.7103,0)-('Balance Sheet'!W142+'Balance Sheet'!W116+'Balance Sheet'!W104)</f>
        <v>3494</v>
      </c>
      <c r="F20" s="94">
        <f>'Balance Sheet'!W142+'Balance Sheet'!W116+'Balance Sheet'!W104+'Income Statement'!O79+ROUND('Income Statement'!O50*0.7103,0)-('Balance Sheet'!X142+'Balance Sheet'!X116+'Balance Sheet'!X104)</f>
        <v>3681</v>
      </c>
      <c r="H20" s="80" t="s">
        <v>635</v>
      </c>
      <c r="I20" s="80">
        <v>5843</v>
      </c>
      <c r="J20" s="80">
        <v>5961</v>
      </c>
      <c r="K20" s="80">
        <v>6708</v>
      </c>
      <c r="L20" s="80">
        <v>6196</v>
      </c>
      <c r="M20" s="80">
        <v>6314</v>
      </c>
    </row>
    <row r="21" spans="1:14" ht="15" customHeight="1" x14ac:dyDescent="0.2">
      <c r="H21" s="80" t="s">
        <v>636</v>
      </c>
      <c r="I21" s="80">
        <f>I19+I20</f>
        <v>11280</v>
      </c>
      <c r="J21" s="80">
        <f>J19+J20</f>
        <v>11796</v>
      </c>
      <c r="K21" s="80">
        <f>K19+K20</f>
        <v>12967</v>
      </c>
      <c r="L21" s="80">
        <f>L19+L20</f>
        <v>12903</v>
      </c>
      <c r="M21" s="80">
        <f>M19+M20</f>
        <v>13494</v>
      </c>
    </row>
    <row r="22" spans="1:14" ht="15" customHeight="1" x14ac:dyDescent="0.2">
      <c r="B22" s="89"/>
      <c r="C22" s="89"/>
      <c r="D22" s="89"/>
      <c r="E22" s="89"/>
      <c r="F22" s="89"/>
      <c r="H22" s="80" t="s">
        <v>637</v>
      </c>
      <c r="I22" s="80">
        <f>I19/I21</f>
        <v>0.4820035460992908</v>
      </c>
      <c r="J22" s="80">
        <f>J19/J21</f>
        <v>0.49465920651068157</v>
      </c>
      <c r="K22" s="80">
        <f>K19/K21</f>
        <v>0.48268682039022132</v>
      </c>
      <c r="L22" s="80">
        <f>L19/L21</f>
        <v>0.51980159652793922</v>
      </c>
      <c r="M22" s="80">
        <f>M19/M21</f>
        <v>0.53208833555654367</v>
      </c>
    </row>
    <row r="23" spans="1:14" ht="15" customHeight="1" x14ac:dyDescent="0.2">
      <c r="H23" s="80" t="s">
        <v>638</v>
      </c>
      <c r="I23" s="80">
        <f>I20/I21</f>
        <v>0.51799645390070925</v>
      </c>
      <c r="J23" s="80">
        <f>J20/J21</f>
        <v>0.50534079348931837</v>
      </c>
      <c r="K23" s="80">
        <f>K20/K21</f>
        <v>0.51731317960977863</v>
      </c>
      <c r="L23" s="80">
        <f>L20/L21</f>
        <v>0.48019840347206078</v>
      </c>
      <c r="M23" s="80">
        <f>M20/M21</f>
        <v>0.46791166444345633</v>
      </c>
    </row>
    <row r="24" spans="1:14" ht="15" customHeight="1" x14ac:dyDescent="0.2">
      <c r="H24" s="80" t="s">
        <v>639</v>
      </c>
      <c r="I24" s="92">
        <v>3.3500000000000002E-2</v>
      </c>
      <c r="J24" s="92">
        <v>3.3500000000000002E-2</v>
      </c>
      <c r="K24" s="92">
        <v>3.3500000000000002E-2</v>
      </c>
      <c r="L24" s="92">
        <v>3.3500000000000002E-2</v>
      </c>
      <c r="M24" s="92">
        <v>3.3500000000000002E-2</v>
      </c>
    </row>
    <row r="25" spans="1:14" ht="15" customHeight="1" x14ac:dyDescent="0.2">
      <c r="H25" s="80" t="s">
        <v>640</v>
      </c>
      <c r="I25" s="92">
        <v>0.2908</v>
      </c>
      <c r="J25" s="92">
        <v>0.29310000000000003</v>
      </c>
      <c r="K25" s="92">
        <v>0.2954</v>
      </c>
      <c r="L25" s="92">
        <v>0.29770000000000002</v>
      </c>
      <c r="M25" s="92">
        <v>0.3</v>
      </c>
    </row>
    <row r="26" spans="1:14" ht="15" customHeight="1" x14ac:dyDescent="0.2">
      <c r="H26" s="80" t="s">
        <v>641</v>
      </c>
      <c r="I26" s="80">
        <f>(I22*I18)+(I23*I24*(1-I25))</f>
        <v>5.8272939285386523E-2</v>
      </c>
      <c r="J26" s="80">
        <f>(J22*J18)+(J23*J24*(1-J25))</f>
        <v>5.8418126592029274E-2</v>
      </c>
      <c r="K26" s="80">
        <f>(K22*K18)+(K23*K24*(1-K25))</f>
        <v>5.6866971367875788E-2</v>
      </c>
      <c r="L26" s="80">
        <f>(L22*L18)+(L23*L24*(1-L25))</f>
        <v>5.8711855139708807E-2</v>
      </c>
      <c r="M26" s="80">
        <f>(M22*M18)+(M23*M24*(1-M25))</f>
        <v>5.8857399102051303E-2</v>
      </c>
    </row>
    <row r="27" spans="1:14" ht="15" customHeight="1" x14ac:dyDescent="0.2">
      <c r="H27" t="s">
        <v>622</v>
      </c>
      <c r="I27">
        <v>1.2500000000000001E-2</v>
      </c>
      <c r="J27">
        <v>1.2500000000000001E-2</v>
      </c>
      <c r="K27">
        <v>1.2500000000000001E-2</v>
      </c>
      <c r="L27">
        <v>1.2500000000000001E-2</v>
      </c>
      <c r="M27">
        <v>1.2500000000000001E-2</v>
      </c>
    </row>
    <row r="28" spans="1:14" ht="15" customHeight="1" x14ac:dyDescent="0.2">
      <c r="H28" s="95" t="s">
        <v>642</v>
      </c>
      <c r="I28" s="95" t="s">
        <v>643</v>
      </c>
      <c r="J28" s="95" t="s">
        <v>632</v>
      </c>
      <c r="K28" s="96" t="s">
        <v>644</v>
      </c>
      <c r="L28" s="97"/>
      <c r="M28" s="98"/>
    </row>
    <row r="29" spans="1:14" ht="15" customHeight="1" x14ac:dyDescent="0.2">
      <c r="H29" s="80">
        <v>2026</v>
      </c>
      <c r="I29" s="80">
        <v>1</v>
      </c>
      <c r="J29" s="99">
        <f>B19</f>
        <v>3507</v>
      </c>
      <c r="K29" s="80">
        <f>J29/(1+I26)^1</f>
        <v>3313.8898953309254</v>
      </c>
    </row>
    <row r="30" spans="1:14" ht="15" customHeight="1" x14ac:dyDescent="0.2">
      <c r="H30" s="80">
        <v>2027</v>
      </c>
      <c r="I30" s="80">
        <v>2</v>
      </c>
      <c r="J30" s="99">
        <f>C19</f>
        <v>3235</v>
      </c>
      <c r="K30" s="80">
        <f>J30/(1+J26)^2</f>
        <v>2887.7510268924525</v>
      </c>
    </row>
    <row r="31" spans="1:14" ht="15" customHeight="1" x14ac:dyDescent="0.2">
      <c r="H31" s="80">
        <v>2028</v>
      </c>
      <c r="I31" s="80">
        <v>3</v>
      </c>
      <c r="J31" s="99">
        <f>D19</f>
        <v>3407</v>
      </c>
      <c r="K31" s="80">
        <f>J31/(1+K26)^3</f>
        <v>2886.0985474195727</v>
      </c>
    </row>
    <row r="32" spans="1:14" ht="15" customHeight="1" x14ac:dyDescent="0.2">
      <c r="H32" s="80">
        <v>2029</v>
      </c>
      <c r="I32" s="80">
        <v>4</v>
      </c>
      <c r="J32" s="99">
        <f>E19</f>
        <v>3583</v>
      </c>
      <c r="K32" s="80">
        <f>J32/(1+L26)^4</f>
        <v>2851.9092600547456</v>
      </c>
    </row>
    <row r="33" spans="8:11" ht="15" customHeight="1" x14ac:dyDescent="0.2">
      <c r="H33" s="100">
        <v>2030</v>
      </c>
      <c r="I33" s="100">
        <v>5</v>
      </c>
      <c r="J33" s="101">
        <f>F19</f>
        <v>3769</v>
      </c>
      <c r="K33" s="100">
        <f>J33/(1+M26)^5</f>
        <v>2831.644695803147</v>
      </c>
    </row>
    <row r="34" spans="8:11" ht="15" customHeight="1" x14ac:dyDescent="0.2">
      <c r="H34" s="102" t="s">
        <v>645</v>
      </c>
      <c r="I34" s="80"/>
      <c r="J34" s="80"/>
      <c r="K34" s="80">
        <f>J33*(1+0.0125)/(M26-0.0125)</f>
        <v>82319.383181942525</v>
      </c>
    </row>
    <row r="35" spans="8:11" ht="15" customHeight="1" x14ac:dyDescent="0.2">
      <c r="H35" s="102" t="s">
        <v>625</v>
      </c>
      <c r="I35" s="80"/>
      <c r="J35" s="80"/>
      <c r="K35" s="80">
        <f>K34/(1+M26)^5</f>
        <v>61846.443287061375</v>
      </c>
    </row>
    <row r="36" spans="8:11" ht="15" customHeight="1" x14ac:dyDescent="0.2">
      <c r="H36" s="102" t="s">
        <v>646</v>
      </c>
      <c r="I36" s="80"/>
      <c r="J36" s="80"/>
      <c r="K36" s="80">
        <f>K29+K30+K31+K32+K33+K35</f>
        <v>76617.736712562211</v>
      </c>
    </row>
    <row r="37" spans="8:11" ht="15" customHeight="1" x14ac:dyDescent="0.2">
      <c r="H37" t="s">
        <v>647</v>
      </c>
      <c r="K37">
        <f>'Balance Sheet'!G116+'Balance Sheet'!G104</f>
        <v>5868</v>
      </c>
    </row>
    <row r="38" spans="8:11" ht="15" customHeight="1" x14ac:dyDescent="0.2">
      <c r="H38" t="s">
        <v>648</v>
      </c>
      <c r="K38">
        <f>K36-K37</f>
        <v>70749.736712562211</v>
      </c>
    </row>
    <row r="39" spans="8:11" ht="15" customHeight="1" x14ac:dyDescent="0.2">
      <c r="H39" t="s">
        <v>649</v>
      </c>
      <c r="K39">
        <v>1140</v>
      </c>
    </row>
    <row r="40" spans="8:11" ht="15" customHeight="1" x14ac:dyDescent="0.2">
      <c r="H40" t="s">
        <v>650</v>
      </c>
      <c r="K40">
        <f>K38/K39</f>
        <v>62.061172554879136</v>
      </c>
    </row>
    <row r="41" spans="8:11" ht="15" customHeight="1" x14ac:dyDescent="0.2">
      <c r="H41" t="s">
        <v>629</v>
      </c>
      <c r="K41">
        <v>73.47</v>
      </c>
    </row>
    <row r="42" spans="8:11" ht="15" customHeight="1" x14ac:dyDescent="0.2">
      <c r="H42" t="s">
        <v>631</v>
      </c>
      <c r="K42" t="str">
        <f>IF(K40&gt;K41,"BUY","SELL")</f>
        <v>SELL</v>
      </c>
    </row>
    <row r="43" spans="8:11" ht="15" customHeight="1" x14ac:dyDescent="0.2">
      <c r="H43" t="s">
        <v>651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zoomScaleNormal="100" workbookViewId="0">
      <pane xSplit="1" ySplit="17" topLeftCell="B18" activePane="bottomRight" state="frozen"/>
      <selection pane="topRight" activeCell="B1" sqref="B1"/>
      <selection pane="bottomLeft" activeCell="A18" sqref="A18"/>
      <selection pane="bottomRight" activeCell="A5" sqref="A5:H5"/>
    </sheetView>
  </sheetViews>
  <sheetFormatPr baseColWidth="10" defaultColWidth="8.6640625" defaultRowHeight="15" x14ac:dyDescent="0.2"/>
  <cols>
    <col min="1" max="1" width="42" customWidth="1"/>
    <col min="2" max="6" width="14" customWidth="1"/>
    <col min="7" max="7" width="3" customWidth="1"/>
    <col min="8" max="8" width="46" customWidth="1"/>
  </cols>
  <sheetData>
    <row r="1" spans="1:8" ht="21.75" customHeight="1" x14ac:dyDescent="0.2">
      <c r="A1" s="132" t="s">
        <v>652</v>
      </c>
      <c r="B1" s="132"/>
      <c r="C1" s="132"/>
      <c r="D1" s="132"/>
      <c r="E1" s="132"/>
      <c r="F1" s="132"/>
      <c r="G1" s="132"/>
      <c r="H1" s="132"/>
    </row>
    <row r="2" spans="1:8" ht="15" customHeight="1" x14ac:dyDescent="0.2">
      <c r="A2" s="133" t="s">
        <v>653</v>
      </c>
      <c r="B2" s="133"/>
      <c r="C2" s="133"/>
      <c r="D2" s="133"/>
      <c r="E2" s="133"/>
      <c r="F2" s="133"/>
      <c r="G2" s="133"/>
      <c r="H2" s="133"/>
    </row>
    <row r="4" spans="1:8" ht="18" customHeight="1" x14ac:dyDescent="0.2">
      <c r="A4" s="134" t="s">
        <v>654</v>
      </c>
      <c r="B4" s="134"/>
      <c r="C4" s="134"/>
      <c r="D4" s="134"/>
      <c r="E4" s="134"/>
      <c r="F4" s="134"/>
      <c r="G4" s="134"/>
      <c r="H4" s="134"/>
    </row>
    <row r="5" spans="1:8" ht="15" customHeight="1" x14ac:dyDescent="0.2">
      <c r="A5" s="135" t="s">
        <v>655</v>
      </c>
      <c r="B5" s="135"/>
      <c r="C5" s="135"/>
      <c r="D5" s="135"/>
      <c r="E5" s="135"/>
      <c r="F5" s="135"/>
      <c r="G5" s="135"/>
      <c r="H5" s="135"/>
    </row>
    <row r="6" spans="1:8" ht="15" customHeight="1" x14ac:dyDescent="0.2">
      <c r="A6" s="135" t="s">
        <v>656</v>
      </c>
      <c r="B6" s="135"/>
      <c r="C6" s="135"/>
      <c r="D6" s="135"/>
      <c r="E6" s="135"/>
      <c r="F6" s="135"/>
      <c r="G6" s="135"/>
      <c r="H6" s="135"/>
    </row>
    <row r="7" spans="1:8" ht="15" customHeight="1" x14ac:dyDescent="0.2">
      <c r="A7" s="136" t="s">
        <v>657</v>
      </c>
      <c r="B7" s="136"/>
      <c r="C7" s="136"/>
      <c r="D7" s="136"/>
      <c r="E7" s="136"/>
      <c r="F7" s="136"/>
      <c r="G7" s="136"/>
      <c r="H7" s="136"/>
    </row>
    <row r="8" spans="1:8" ht="15" customHeight="1" x14ac:dyDescent="0.2">
      <c r="A8" s="4" t="s">
        <v>658</v>
      </c>
      <c r="B8" s="137" t="s">
        <v>659</v>
      </c>
      <c r="C8" s="137"/>
      <c r="D8" s="137"/>
      <c r="E8" s="137"/>
      <c r="F8" s="137"/>
      <c r="G8" s="137"/>
      <c r="H8" s="137"/>
    </row>
    <row r="9" spans="1:8" ht="15" customHeight="1" x14ac:dyDescent="0.2">
      <c r="A9" s="4" t="s">
        <v>660</v>
      </c>
      <c r="B9" s="137" t="s">
        <v>661</v>
      </c>
      <c r="C9" s="137"/>
      <c r="D9" s="137"/>
      <c r="E9" s="137"/>
      <c r="F9" s="137"/>
      <c r="G9" s="137"/>
      <c r="H9" s="137"/>
    </row>
    <row r="10" spans="1:8" ht="15" customHeight="1" x14ac:dyDescent="0.2">
      <c r="A10" s="4" t="s">
        <v>662</v>
      </c>
      <c r="B10" s="137" t="s">
        <v>663</v>
      </c>
      <c r="C10" s="137"/>
      <c r="D10" s="137"/>
      <c r="E10" s="137"/>
      <c r="F10" s="137"/>
      <c r="G10" s="137"/>
      <c r="H10" s="137"/>
    </row>
    <row r="11" spans="1:8" ht="15" customHeight="1" x14ac:dyDescent="0.2">
      <c r="A11" s="4" t="s">
        <v>664</v>
      </c>
      <c r="B11" s="137" t="s">
        <v>665</v>
      </c>
      <c r="C11" s="137"/>
      <c r="D11" s="137"/>
      <c r="E11" s="137"/>
      <c r="F11" s="137"/>
      <c r="G11" s="137"/>
      <c r="H11" s="137"/>
    </row>
    <row r="12" spans="1:8" ht="15" customHeight="1" x14ac:dyDescent="0.2">
      <c r="A12" s="4" t="s">
        <v>666</v>
      </c>
      <c r="B12" s="137" t="s">
        <v>667</v>
      </c>
      <c r="C12" s="137"/>
      <c r="D12" s="137"/>
      <c r="E12" s="137"/>
      <c r="F12" s="137"/>
      <c r="G12" s="137"/>
      <c r="H12" s="137"/>
    </row>
    <row r="13" spans="1:8" ht="15" customHeight="1" x14ac:dyDescent="0.2">
      <c r="A13" s="4" t="s">
        <v>668</v>
      </c>
      <c r="B13" s="137" t="s">
        <v>669</v>
      </c>
      <c r="C13" s="137"/>
      <c r="D13" s="137"/>
      <c r="E13" s="137"/>
      <c r="F13" s="137"/>
      <c r="G13" s="137"/>
      <c r="H13" s="137"/>
    </row>
    <row r="14" spans="1:8" ht="15" customHeight="1" x14ac:dyDescent="0.2">
      <c r="A14" s="4" t="s">
        <v>670</v>
      </c>
      <c r="B14" s="137" t="s">
        <v>671</v>
      </c>
      <c r="C14" s="137"/>
      <c r="D14" s="137"/>
      <c r="E14" s="137"/>
      <c r="F14" s="137"/>
      <c r="G14" s="137"/>
      <c r="H14" s="137"/>
    </row>
    <row r="16" spans="1:8" ht="18" customHeight="1" x14ac:dyDescent="0.2">
      <c r="A16" s="134" t="s">
        <v>672</v>
      </c>
      <c r="B16" s="134"/>
      <c r="C16" s="134"/>
      <c r="D16" s="134"/>
      <c r="E16" s="134"/>
      <c r="F16" s="134"/>
      <c r="G16" s="134"/>
      <c r="H16" s="134"/>
    </row>
    <row r="17" spans="1:8" ht="15.75" customHeight="1" x14ac:dyDescent="0.2">
      <c r="A17" s="26" t="s">
        <v>231</v>
      </c>
      <c r="B17" s="26" t="s">
        <v>232</v>
      </c>
      <c r="C17" s="26" t="s">
        <v>233</v>
      </c>
      <c r="D17" s="26" t="s">
        <v>234</v>
      </c>
      <c r="E17" s="26" t="s">
        <v>235</v>
      </c>
      <c r="F17" s="26" t="s">
        <v>236</v>
      </c>
      <c r="H17" s="26" t="s">
        <v>237</v>
      </c>
    </row>
    <row r="18" spans="1:8" ht="15.75" customHeight="1" x14ac:dyDescent="0.2">
      <c r="A18" s="27" t="s">
        <v>238</v>
      </c>
      <c r="B18" s="28">
        <f>'Income Statement'!K79</f>
        <v>3098</v>
      </c>
      <c r="C18" s="28">
        <f>'Income Statement'!L79</f>
        <v>3365</v>
      </c>
      <c r="D18" s="28">
        <f>'Income Statement'!M79</f>
        <v>3577</v>
      </c>
      <c r="E18" s="28">
        <f>'Income Statement'!N79</f>
        <v>3786</v>
      </c>
      <c r="F18" s="28">
        <f>'Income Statement'!O79</f>
        <v>3998</v>
      </c>
      <c r="H18" s="3" t="s">
        <v>673</v>
      </c>
    </row>
    <row r="19" spans="1:8" ht="15.75" customHeight="1" x14ac:dyDescent="0.2">
      <c r="A19" s="4" t="s">
        <v>240</v>
      </c>
      <c r="B19" s="29">
        <f>'Income Statement'!K30</f>
        <v>1604</v>
      </c>
      <c r="C19" s="29">
        <f>'Income Statement'!L30</f>
        <v>1671</v>
      </c>
      <c r="D19" s="29">
        <f>'Income Statement'!M30</f>
        <v>1747</v>
      </c>
      <c r="E19" s="29">
        <f>'Income Statement'!N30</f>
        <v>1830</v>
      </c>
      <c r="F19" s="29">
        <f>'Income Statement'!O30</f>
        <v>1919</v>
      </c>
      <c r="H19" s="3" t="s">
        <v>674</v>
      </c>
    </row>
    <row r="20" spans="1:8" ht="15.75" customHeight="1" x14ac:dyDescent="0.2">
      <c r="A20" s="4" t="s">
        <v>242</v>
      </c>
      <c r="B20" s="29">
        <f>'Income Statement'!K29</f>
        <v>186</v>
      </c>
      <c r="C20" s="29">
        <f>'Income Statement'!L29</f>
        <v>197</v>
      </c>
      <c r="D20" s="29">
        <f>'Income Statement'!M29</f>
        <v>209</v>
      </c>
      <c r="E20" s="29">
        <f>'Income Statement'!N29</f>
        <v>220</v>
      </c>
      <c r="F20" s="29">
        <f>'Income Statement'!O29</f>
        <v>232</v>
      </c>
      <c r="H20" s="3" t="s">
        <v>675</v>
      </c>
    </row>
    <row r="21" spans="1:8" ht="15.75" customHeight="1" x14ac:dyDescent="0.2">
      <c r="A21" s="30" t="s">
        <v>244</v>
      </c>
      <c r="B21" s="31">
        <f>B19+B20</f>
        <v>1790</v>
      </c>
      <c r="C21" s="31">
        <f>C19+C20</f>
        <v>1868</v>
      </c>
      <c r="D21" s="31">
        <f>D19+D20</f>
        <v>1956</v>
      </c>
      <c r="E21" s="31">
        <f>E19+E20</f>
        <v>2050</v>
      </c>
      <c r="F21" s="31">
        <f>F19+F20</f>
        <v>2151</v>
      </c>
      <c r="H21" s="3" t="s">
        <v>676</v>
      </c>
    </row>
    <row r="22" spans="1:8" ht="15.75" customHeight="1" x14ac:dyDescent="0.2">
      <c r="A22" s="32" t="s">
        <v>246</v>
      </c>
      <c r="B22" s="33">
        <f>('Balance Sheet'!T35-'Balance Sheet'!T20-'Balance Sheet'!T113+'Balance Sheet'!T104)-('Balance Sheet'!G35-'Balance Sheet'!G20-'Balance Sheet'!G113+'Balance Sheet'!G104)</f>
        <v>-316</v>
      </c>
      <c r="C22" s="33">
        <f>('Balance Sheet'!U35-'Balance Sheet'!U20-'Balance Sheet'!U113+'Balance Sheet'!U104)-('Balance Sheet'!T35-'Balance Sheet'!T20-'Balance Sheet'!T113+'Balance Sheet'!T104)</f>
        <v>110</v>
      </c>
      <c r="D22" s="33">
        <f>('Balance Sheet'!V35-'Balance Sheet'!V20-'Balance Sheet'!V113+'Balance Sheet'!V104)-('Balance Sheet'!U35-'Balance Sheet'!U20-'Balance Sheet'!U113+'Balance Sheet'!U104)</f>
        <v>111</v>
      </c>
      <c r="E22" s="33">
        <f>('Balance Sheet'!W35-'Balance Sheet'!W20-'Balance Sheet'!W113+'Balance Sheet'!W104)-('Balance Sheet'!V35-'Balance Sheet'!V20-'Balance Sheet'!V113+'Balance Sheet'!V104)</f>
        <v>111</v>
      </c>
      <c r="F22" s="33">
        <f>('Balance Sheet'!X35-'Balance Sheet'!X20-'Balance Sheet'!X113+'Balance Sheet'!X104)-('Balance Sheet'!W35-'Balance Sheet'!W20-'Balance Sheet'!W113+'Balance Sheet'!W104)</f>
        <v>110</v>
      </c>
      <c r="H22" s="3" t="s">
        <v>677</v>
      </c>
    </row>
    <row r="23" spans="1:8" ht="15.75" customHeight="1" x14ac:dyDescent="0.2">
      <c r="A23" s="32" t="s">
        <v>250</v>
      </c>
      <c r="B23" s="33">
        <f>'Balance Sheet'!T41-'Balance Sheet'!G41+'Income Statement'!K30</f>
        <v>2064</v>
      </c>
      <c r="C23" s="33">
        <f>'Balance Sheet'!U41-'Balance Sheet'!T41+'Income Statement'!L30</f>
        <v>2191</v>
      </c>
      <c r="D23" s="33">
        <f>'Balance Sheet'!V41-'Balance Sheet'!U41+'Income Statement'!M30</f>
        <v>2319</v>
      </c>
      <c r="E23" s="33">
        <f>'Balance Sheet'!W41-'Balance Sheet'!V41+'Income Statement'!N30</f>
        <v>2446</v>
      </c>
      <c r="F23" s="33">
        <f>'Balance Sheet'!X41-'Balance Sheet'!W41+'Income Statement'!O30</f>
        <v>2573</v>
      </c>
      <c r="H23" s="3" t="s">
        <v>678</v>
      </c>
    </row>
    <row r="24" spans="1:8" ht="15.75" customHeight="1" x14ac:dyDescent="0.2">
      <c r="A24" s="34" t="s">
        <v>679</v>
      </c>
      <c r="B24" s="35">
        <f>ROUND('Income Statement'!K50*0.7103,0)</f>
        <v>329</v>
      </c>
      <c r="C24" s="35">
        <f>ROUND('Income Statement'!L50*0.7103,0)</f>
        <v>274</v>
      </c>
      <c r="D24" s="35">
        <f>ROUND('Income Statement'!M50*0.7103,0)</f>
        <v>274</v>
      </c>
      <c r="E24" s="35">
        <f>ROUND('Income Statement'!N50*0.7103,0)</f>
        <v>274</v>
      </c>
      <c r="F24" s="35">
        <f>ROUND('Income Statement'!O50*0.7103,0)</f>
        <v>274</v>
      </c>
      <c r="H24" s="3" t="s">
        <v>680</v>
      </c>
    </row>
    <row r="25" spans="1:8" ht="15.75" customHeight="1" x14ac:dyDescent="0.2">
      <c r="A25" s="34" t="s">
        <v>254</v>
      </c>
      <c r="B25" s="35">
        <f>'Balance Sheet'!T120-'Balance Sheet'!G120</f>
        <v>38</v>
      </c>
      <c r="C25" s="35">
        <f>'Balance Sheet'!U120-'Balance Sheet'!T120</f>
        <v>29</v>
      </c>
      <c r="D25" s="35">
        <f>'Balance Sheet'!V120-'Balance Sheet'!U120</f>
        <v>30</v>
      </c>
      <c r="E25" s="35">
        <f>'Balance Sheet'!W120-'Balance Sheet'!V120</f>
        <v>30</v>
      </c>
      <c r="F25" s="35">
        <f>'Balance Sheet'!X120-'Balance Sheet'!W120</f>
        <v>29</v>
      </c>
      <c r="H25" s="3" t="s">
        <v>681</v>
      </c>
    </row>
    <row r="26" spans="1:8" ht="19.5" customHeight="1" x14ac:dyDescent="0.2">
      <c r="A26" s="103" t="s">
        <v>682</v>
      </c>
      <c r="B26" s="104">
        <f>B18+B21-B22-B23+B24+B25</f>
        <v>3507</v>
      </c>
      <c r="C26" s="104">
        <f>C18+C21-C22-C23+C24+C25</f>
        <v>3235</v>
      </c>
      <c r="D26" s="104">
        <f>D18+D21-D22-D23+D24+D25</f>
        <v>3407</v>
      </c>
      <c r="E26" s="104">
        <f>E18+E21-E22-E23+E24+E25</f>
        <v>3583</v>
      </c>
      <c r="F26" s="104">
        <f>F18+F21-F22-F23+F24+F25</f>
        <v>3769</v>
      </c>
      <c r="H26" s="105" t="s">
        <v>683</v>
      </c>
    </row>
    <row r="27" spans="1:8" ht="15.75" customHeight="1" x14ac:dyDescent="0.2">
      <c r="A27" s="39" t="s">
        <v>684</v>
      </c>
      <c r="B27" s="40">
        <f>('Balance Sheet'!G142+'Balance Sheet'!G116+'Balance Sheet'!G104)+'Income Statement'!K79+ROUND('Income Statement'!K50*0.7103,0)-('Balance Sheet'!T142+'Balance Sheet'!T116+'Balance Sheet'!T104)</f>
        <v>3085</v>
      </c>
      <c r="C27" s="40">
        <f>('Balance Sheet'!T142+'Balance Sheet'!T116+'Balance Sheet'!T104)+'Income Statement'!L79+ROUND('Income Statement'!L50*0.7103,0)-('Balance Sheet'!U142+'Balance Sheet'!U116+'Balance Sheet'!U104)</f>
        <v>3123</v>
      </c>
      <c r="D27" s="40">
        <f>('Balance Sheet'!U142+'Balance Sheet'!U116+'Balance Sheet'!U104)+'Income Statement'!M79+ROUND('Income Statement'!M50*0.7103,0)-('Balance Sheet'!V142+'Balance Sheet'!V116+'Balance Sheet'!V104)</f>
        <v>3310</v>
      </c>
      <c r="E27" s="40">
        <f>('Balance Sheet'!V142+'Balance Sheet'!V116+'Balance Sheet'!V104)+'Income Statement'!N79+ROUND('Income Statement'!N50*0.7103,0)-('Balance Sheet'!W142+'Balance Sheet'!W116+'Balance Sheet'!W104)</f>
        <v>3494</v>
      </c>
      <c r="F27" s="40">
        <f>('Balance Sheet'!W142+'Balance Sheet'!W116+'Balance Sheet'!W104)+'Income Statement'!O79+ROUND('Income Statement'!O50*0.7103,0)-('Balance Sheet'!X142+'Balance Sheet'!X116+'Balance Sheet'!X104)</f>
        <v>3681</v>
      </c>
      <c r="H27" s="3" t="s">
        <v>685</v>
      </c>
    </row>
    <row r="29" spans="1:8" ht="18" customHeight="1" x14ac:dyDescent="0.2">
      <c r="A29" s="134" t="s">
        <v>686</v>
      </c>
      <c r="B29" s="134"/>
      <c r="C29" s="134"/>
      <c r="D29" s="134"/>
      <c r="E29" s="134"/>
      <c r="F29" s="134"/>
      <c r="G29" s="134"/>
      <c r="H29" s="134"/>
    </row>
    <row r="30" spans="1:8" ht="15.75" customHeight="1" x14ac:dyDescent="0.2">
      <c r="A30" s="26" t="s">
        <v>687</v>
      </c>
      <c r="B30" s="26" t="s">
        <v>232</v>
      </c>
      <c r="C30" s="26" t="s">
        <v>233</v>
      </c>
      <c r="D30" s="26" t="s">
        <v>234</v>
      </c>
      <c r="E30" s="26" t="s">
        <v>235</v>
      </c>
      <c r="F30" s="26" t="s">
        <v>236</v>
      </c>
      <c r="H30" s="26" t="s">
        <v>601</v>
      </c>
    </row>
    <row r="31" spans="1:8" ht="15.75" customHeight="1" x14ac:dyDescent="0.2">
      <c r="A31" s="106" t="s">
        <v>688</v>
      </c>
      <c r="B31" s="107">
        <f>FCFE!B25</f>
        <v>3153</v>
      </c>
      <c r="C31" s="107">
        <f>FCFE!C25</f>
        <v>3079</v>
      </c>
      <c r="D31" s="107">
        <f>FCFE!D25</f>
        <v>3250</v>
      </c>
      <c r="E31" s="107">
        <f>FCFE!E25</f>
        <v>3427</v>
      </c>
      <c r="F31" s="107">
        <f>FCFE!F25</f>
        <v>3613</v>
      </c>
      <c r="H31" s="3" t="s">
        <v>689</v>
      </c>
    </row>
    <row r="32" spans="1:8" ht="15.75" customHeight="1" x14ac:dyDescent="0.2">
      <c r="A32" s="34" t="s">
        <v>690</v>
      </c>
      <c r="B32" s="108">
        <f>B24</f>
        <v>329</v>
      </c>
      <c r="C32" s="108">
        <f>C24</f>
        <v>274</v>
      </c>
      <c r="D32" s="108">
        <f>D24</f>
        <v>274</v>
      </c>
      <c r="E32" s="108">
        <f>E24</f>
        <v>274</v>
      </c>
      <c r="F32" s="108">
        <f>F24</f>
        <v>274</v>
      </c>
      <c r="H32" s="3" t="s">
        <v>691</v>
      </c>
    </row>
    <row r="33" spans="1:8" ht="15.75" customHeight="1" x14ac:dyDescent="0.2">
      <c r="A33" s="32" t="s">
        <v>692</v>
      </c>
      <c r="B33" s="109">
        <f>('Balance Sheet'!T116+'Balance Sheet'!T104)-('Balance Sheet'!G116+'Balance Sheet'!G104)</f>
        <v>-25</v>
      </c>
      <c r="C33" s="109">
        <f>('Balance Sheet'!U116+'Balance Sheet'!U104)-('Balance Sheet'!T116+'Balance Sheet'!T104)</f>
        <v>118</v>
      </c>
      <c r="D33" s="109">
        <f>('Balance Sheet'!V116+'Balance Sheet'!V104)-('Balance Sheet'!U116+'Balance Sheet'!U104)</f>
        <v>117</v>
      </c>
      <c r="E33" s="109">
        <f>('Balance Sheet'!W116+'Balance Sheet'!W104)-('Balance Sheet'!V116+'Balance Sheet'!V104)</f>
        <v>118</v>
      </c>
      <c r="F33" s="109">
        <f>('Balance Sheet'!X116+'Balance Sheet'!X104)-('Balance Sheet'!W116+'Balance Sheet'!W104)</f>
        <v>118</v>
      </c>
      <c r="H33" s="3" t="s">
        <v>693</v>
      </c>
    </row>
    <row r="34" spans="1:8" ht="15.75" customHeight="1" x14ac:dyDescent="0.2">
      <c r="A34" s="110" t="s">
        <v>694</v>
      </c>
      <c r="B34" s="111">
        <f>B31+B32-B33</f>
        <v>3507</v>
      </c>
      <c r="C34" s="111">
        <f>C31+C32-C33</f>
        <v>3235</v>
      </c>
      <c r="D34" s="111">
        <f>D31+D32-D33</f>
        <v>3407</v>
      </c>
      <c r="E34" s="111">
        <f>E31+E32-E33</f>
        <v>3583</v>
      </c>
      <c r="F34" s="111">
        <f>F31+F32-F33</f>
        <v>3769</v>
      </c>
      <c r="H34" s="3" t="s">
        <v>695</v>
      </c>
    </row>
    <row r="35" spans="1:8" ht="15.75" customHeight="1" x14ac:dyDescent="0.2">
      <c r="A35" s="112" t="s">
        <v>696</v>
      </c>
      <c r="B35" s="113">
        <f>B26</f>
        <v>3507</v>
      </c>
      <c r="C35" s="113">
        <f>C26</f>
        <v>3235</v>
      </c>
      <c r="D35" s="113">
        <f>D26</f>
        <v>3407</v>
      </c>
      <c r="E35" s="113">
        <f>E26</f>
        <v>3583</v>
      </c>
      <c r="F35" s="113">
        <f>F26</f>
        <v>3769</v>
      </c>
      <c r="H35" s="3" t="s">
        <v>697</v>
      </c>
    </row>
    <row r="36" spans="1:8" ht="15.75" customHeight="1" x14ac:dyDescent="0.2">
      <c r="A36" s="39" t="s">
        <v>698</v>
      </c>
      <c r="B36" s="114">
        <f>B34-B35</f>
        <v>0</v>
      </c>
      <c r="C36" s="114">
        <f>C34-C35</f>
        <v>0</v>
      </c>
      <c r="D36" s="114">
        <f>D34-D35</f>
        <v>0</v>
      </c>
      <c r="E36" s="114">
        <f>E34-E35</f>
        <v>0</v>
      </c>
      <c r="F36" s="114">
        <f>F34-F35</f>
        <v>0</v>
      </c>
      <c r="H36" s="3" t="s">
        <v>699</v>
      </c>
    </row>
    <row r="38" spans="1:8" ht="18" customHeight="1" x14ac:dyDescent="0.2">
      <c r="A38" s="134" t="s">
        <v>700</v>
      </c>
      <c r="B38" s="134"/>
      <c r="C38" s="134"/>
      <c r="D38" s="134"/>
      <c r="E38" s="134"/>
      <c r="F38" s="134"/>
      <c r="G38" s="134"/>
      <c r="H38" s="134"/>
    </row>
    <row r="39" spans="1:8" ht="15.75" customHeight="1" x14ac:dyDescent="0.2">
      <c r="A39" s="26" t="s">
        <v>701</v>
      </c>
      <c r="B39" s="26" t="s">
        <v>232</v>
      </c>
      <c r="C39" s="26" t="s">
        <v>233</v>
      </c>
      <c r="D39" s="26" t="s">
        <v>234</v>
      </c>
      <c r="E39" s="26" t="s">
        <v>235</v>
      </c>
      <c r="F39" s="26" t="s">
        <v>236</v>
      </c>
      <c r="H39" s="26" t="s">
        <v>702</v>
      </c>
    </row>
    <row r="40" spans="1:8" ht="15.75" customHeight="1" x14ac:dyDescent="0.2">
      <c r="A40" s="106" t="s">
        <v>703</v>
      </c>
      <c r="B40" s="107">
        <f>FCFE!B25</f>
        <v>3153</v>
      </c>
      <c r="C40" s="107">
        <f>FCFE!C25</f>
        <v>3079</v>
      </c>
      <c r="D40" s="107">
        <f>FCFE!D25</f>
        <v>3250</v>
      </c>
      <c r="E40" s="107">
        <f>FCFE!E25</f>
        <v>3427</v>
      </c>
      <c r="F40" s="107">
        <f>FCFE!F25</f>
        <v>3613</v>
      </c>
      <c r="H40" s="3" t="s">
        <v>704</v>
      </c>
    </row>
    <row r="41" spans="1:8" ht="15.75" customHeight="1" x14ac:dyDescent="0.2">
      <c r="A41" s="39" t="s">
        <v>620</v>
      </c>
      <c r="B41" s="114">
        <f>FCFE!B26</f>
        <v>2731</v>
      </c>
      <c r="C41" s="114">
        <f>FCFE!C26</f>
        <v>2967</v>
      </c>
      <c r="D41" s="114">
        <f>FCFE!D26</f>
        <v>3153</v>
      </c>
      <c r="E41" s="114">
        <f>FCFE!E26</f>
        <v>3338</v>
      </c>
      <c r="F41" s="114">
        <f>FCFE!F26</f>
        <v>3525</v>
      </c>
      <c r="H41" s="3" t="s">
        <v>705</v>
      </c>
    </row>
    <row r="42" spans="1:8" ht="15.75" customHeight="1" x14ac:dyDescent="0.2">
      <c r="A42" s="112" t="s">
        <v>706</v>
      </c>
      <c r="B42" s="113">
        <f>B40-B41</f>
        <v>422</v>
      </c>
      <c r="C42" s="113">
        <f>C40-C41</f>
        <v>112</v>
      </c>
      <c r="D42" s="113">
        <f>D40-D41</f>
        <v>97</v>
      </c>
      <c r="E42" s="113">
        <f>E40-E41</f>
        <v>89</v>
      </c>
      <c r="F42" s="113">
        <f>F40-F41</f>
        <v>88</v>
      </c>
      <c r="H42" s="3" t="s">
        <v>707</v>
      </c>
    </row>
    <row r="43" spans="1:8" ht="15.75" customHeight="1" x14ac:dyDescent="0.2">
      <c r="A43" s="4"/>
    </row>
    <row r="44" spans="1:8" ht="15.75" customHeight="1" x14ac:dyDescent="0.2">
      <c r="A44" s="110" t="s">
        <v>708</v>
      </c>
      <c r="B44" s="111">
        <f t="shared" ref="B44:F45" si="0">B26</f>
        <v>3507</v>
      </c>
      <c r="C44" s="111">
        <f t="shared" si="0"/>
        <v>3235</v>
      </c>
      <c r="D44" s="111">
        <f t="shared" si="0"/>
        <v>3407</v>
      </c>
      <c r="E44" s="111">
        <f t="shared" si="0"/>
        <v>3583</v>
      </c>
      <c r="F44" s="111">
        <f t="shared" si="0"/>
        <v>3769</v>
      </c>
      <c r="H44" s="3" t="s">
        <v>709</v>
      </c>
    </row>
    <row r="45" spans="1:8" ht="15.75" customHeight="1" x14ac:dyDescent="0.2">
      <c r="A45" s="39" t="s">
        <v>634</v>
      </c>
      <c r="B45" s="114">
        <f t="shared" si="0"/>
        <v>3085</v>
      </c>
      <c r="C45" s="114">
        <f t="shared" si="0"/>
        <v>3123</v>
      </c>
      <c r="D45" s="114">
        <f t="shared" si="0"/>
        <v>3310</v>
      </c>
      <c r="E45" s="114">
        <f t="shared" si="0"/>
        <v>3494</v>
      </c>
      <c r="F45" s="114">
        <f t="shared" si="0"/>
        <v>3681</v>
      </c>
      <c r="H45" s="3" t="s">
        <v>710</v>
      </c>
    </row>
    <row r="46" spans="1:8" ht="15.75" customHeight="1" x14ac:dyDescent="0.2">
      <c r="A46" s="112" t="s">
        <v>711</v>
      </c>
      <c r="B46" s="113">
        <f>B44-B45</f>
        <v>422</v>
      </c>
      <c r="C46" s="113">
        <f>C44-C45</f>
        <v>112</v>
      </c>
      <c r="D46" s="113">
        <f>D44-D45</f>
        <v>97</v>
      </c>
      <c r="E46" s="113">
        <f>E44-E45</f>
        <v>89</v>
      </c>
      <c r="F46" s="113">
        <f>F44-F45</f>
        <v>88</v>
      </c>
      <c r="H46" s="3" t="s">
        <v>707</v>
      </c>
    </row>
    <row r="48" spans="1:8" ht="18" customHeight="1" x14ac:dyDescent="0.2">
      <c r="A48" s="134" t="s">
        <v>712</v>
      </c>
      <c r="B48" s="134"/>
      <c r="C48" s="134"/>
      <c r="D48" s="134"/>
      <c r="E48" s="134"/>
      <c r="F48" s="134"/>
      <c r="G48" s="134"/>
      <c r="H48" s="134"/>
    </row>
    <row r="49" spans="1:8" ht="15" customHeight="1" x14ac:dyDescent="0.2">
      <c r="A49" s="137" t="s">
        <v>713</v>
      </c>
      <c r="B49" s="137"/>
      <c r="C49" s="137"/>
      <c r="D49" s="137"/>
      <c r="E49" s="137"/>
      <c r="F49" s="137"/>
      <c r="G49" s="137"/>
      <c r="H49" s="137"/>
    </row>
    <row r="50" spans="1:8" ht="15" customHeight="1" x14ac:dyDescent="0.2">
      <c r="A50" s="137" t="s">
        <v>714</v>
      </c>
      <c r="B50" s="137"/>
      <c r="C50" s="137"/>
      <c r="D50" s="137"/>
      <c r="E50" s="137"/>
      <c r="F50" s="137"/>
      <c r="G50" s="137"/>
      <c r="H50" s="137"/>
    </row>
    <row r="51" spans="1:8" ht="15" customHeight="1" x14ac:dyDescent="0.2">
      <c r="A51" s="137" t="s">
        <v>715</v>
      </c>
      <c r="B51" s="137"/>
      <c r="C51" s="137"/>
      <c r="D51" s="137"/>
      <c r="E51" s="137"/>
      <c r="F51" s="137"/>
      <c r="G51" s="137"/>
      <c r="H51" s="137"/>
    </row>
    <row r="52" spans="1:8" ht="15" customHeight="1" x14ac:dyDescent="0.2">
      <c r="A52" s="137" t="s">
        <v>716</v>
      </c>
      <c r="B52" s="137"/>
      <c r="C52" s="137"/>
      <c r="D52" s="137"/>
      <c r="E52" s="137"/>
      <c r="F52" s="137"/>
      <c r="G52" s="137"/>
      <c r="H52" s="137"/>
    </row>
    <row r="53" spans="1:8" ht="15" customHeight="1" x14ac:dyDescent="0.2">
      <c r="A53" s="137" t="s">
        <v>717</v>
      </c>
      <c r="B53" s="137"/>
      <c r="C53" s="137"/>
      <c r="D53" s="137"/>
      <c r="E53" s="137"/>
      <c r="F53" s="137"/>
      <c r="G53" s="137"/>
      <c r="H53" s="137"/>
    </row>
    <row r="54" spans="1:8" ht="15" customHeight="1" x14ac:dyDescent="0.2">
      <c r="A54" s="137" t="s">
        <v>718</v>
      </c>
      <c r="B54" s="137"/>
      <c r="C54" s="137"/>
      <c r="D54" s="137"/>
      <c r="E54" s="137"/>
      <c r="F54" s="137"/>
      <c r="G54" s="137"/>
      <c r="H54" s="137"/>
    </row>
    <row r="55" spans="1:8" ht="15" customHeight="1" x14ac:dyDescent="0.2">
      <c r="A55" s="137" t="s">
        <v>719</v>
      </c>
      <c r="B55" s="137"/>
      <c r="C55" s="137"/>
      <c r="D55" s="137"/>
      <c r="E55" s="137"/>
      <c r="F55" s="137"/>
      <c r="G55" s="137"/>
      <c r="H55" s="137"/>
    </row>
  </sheetData>
  <mergeCells count="24">
    <mergeCell ref="A52:H52"/>
    <mergeCell ref="A53:H53"/>
    <mergeCell ref="A54:H54"/>
    <mergeCell ref="A55:H55"/>
    <mergeCell ref="A38:H38"/>
    <mergeCell ref="A48:H48"/>
    <mergeCell ref="A49:H49"/>
    <mergeCell ref="A50:H50"/>
    <mergeCell ref="A51:H51"/>
    <mergeCell ref="B12:H12"/>
    <mergeCell ref="B13:H13"/>
    <mergeCell ref="B14:H14"/>
    <mergeCell ref="A16:H16"/>
    <mergeCell ref="A29:H29"/>
    <mergeCell ref="A7:H7"/>
    <mergeCell ref="B8:H8"/>
    <mergeCell ref="B9:H9"/>
    <mergeCell ref="B10:H10"/>
    <mergeCell ref="B11:H11"/>
    <mergeCell ref="A1:H1"/>
    <mergeCell ref="A2:H2"/>
    <mergeCell ref="A4:H4"/>
    <mergeCell ref="A5:H5"/>
    <mergeCell ref="A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9"/>
  <sheetViews>
    <sheetView topLeftCell="A36" zoomScaleNormal="100" workbookViewId="0">
      <selection activeCell="B2" sqref="B2"/>
    </sheetView>
  </sheetViews>
  <sheetFormatPr baseColWidth="10" defaultColWidth="10.6640625" defaultRowHeight="15" x14ac:dyDescent="0.2"/>
  <cols>
    <col min="9" max="9" width="13.5" customWidth="1"/>
    <col min="10" max="10" width="14.33203125" customWidth="1"/>
  </cols>
  <sheetData>
    <row r="1" spans="1:10" ht="15" customHeight="1" x14ac:dyDescent="0.2">
      <c r="A1" s="115" t="s">
        <v>720</v>
      </c>
      <c r="B1" s="115" t="s">
        <v>721</v>
      </c>
      <c r="C1" s="115" t="s">
        <v>722</v>
      </c>
      <c r="D1" s="115" t="s">
        <v>723</v>
      </c>
      <c r="E1" s="115" t="s">
        <v>724</v>
      </c>
      <c r="F1" s="115" t="s">
        <v>725</v>
      </c>
      <c r="G1" s="115" t="s">
        <v>726</v>
      </c>
      <c r="H1" s="115" t="s">
        <v>727</v>
      </c>
      <c r="I1" s="115" t="s">
        <v>728</v>
      </c>
      <c r="J1" s="116" t="s">
        <v>729</v>
      </c>
    </row>
    <row r="2" spans="1:10" ht="15" customHeight="1" x14ac:dyDescent="0.2">
      <c r="A2" s="117">
        <v>46203</v>
      </c>
      <c r="B2" s="118">
        <v>79.150000000000006</v>
      </c>
      <c r="C2" s="119">
        <v>-0.64</v>
      </c>
      <c r="D2" s="120">
        <v>-8.0199999999999994E-3</v>
      </c>
      <c r="E2" s="118">
        <v>80</v>
      </c>
      <c r="F2" s="118">
        <v>77.83</v>
      </c>
      <c r="G2" s="118">
        <v>80.42</v>
      </c>
      <c r="H2" s="121">
        <v>4354172</v>
      </c>
      <c r="I2" s="118">
        <v>345995076.375</v>
      </c>
      <c r="J2" s="118">
        <v>40528377161.967003</v>
      </c>
    </row>
    <row r="3" spans="1:10" ht="15" customHeight="1" x14ac:dyDescent="0.2">
      <c r="A3" s="117">
        <v>46173</v>
      </c>
      <c r="B3" s="118">
        <v>79.790000000000006</v>
      </c>
      <c r="C3" s="119">
        <v>6.87</v>
      </c>
      <c r="D3" s="120">
        <v>9.4210000000000002E-2</v>
      </c>
      <c r="E3" s="118">
        <v>73.2</v>
      </c>
      <c r="F3" s="118">
        <v>70.8</v>
      </c>
      <c r="G3" s="118">
        <v>79.790000000000006</v>
      </c>
      <c r="H3" s="121">
        <v>35327949</v>
      </c>
      <c r="I3" s="118">
        <v>2646600420.6539998</v>
      </c>
      <c r="J3" s="118">
        <v>40874372238.342003</v>
      </c>
    </row>
    <row r="4" spans="1:10" ht="15" customHeight="1" x14ac:dyDescent="0.2">
      <c r="A4" s="117">
        <v>46142</v>
      </c>
      <c r="B4" s="118">
        <v>72.92</v>
      </c>
      <c r="C4" s="119">
        <v>0.01</v>
      </c>
      <c r="D4" s="120">
        <v>1.3999999999999999E-4</v>
      </c>
      <c r="E4" s="118">
        <v>73.569999999999993</v>
      </c>
      <c r="F4" s="118">
        <v>71.88</v>
      </c>
      <c r="G4" s="118">
        <v>77.510000000000005</v>
      </c>
      <c r="H4" s="121">
        <v>26033657</v>
      </c>
      <c r="I4" s="118">
        <v>1938429145.7720001</v>
      </c>
      <c r="J4" s="118">
        <v>38227771817.688004</v>
      </c>
    </row>
    <row r="5" spans="1:10" ht="15" customHeight="1" x14ac:dyDescent="0.2">
      <c r="A5" s="117">
        <v>46112</v>
      </c>
      <c r="B5" s="118">
        <v>72.91</v>
      </c>
      <c r="C5" s="119">
        <v>-6.71</v>
      </c>
      <c r="D5" s="120">
        <v>-8.4279999999999994E-2</v>
      </c>
      <c r="E5" s="118">
        <v>79</v>
      </c>
      <c r="F5" s="118">
        <v>71.5</v>
      </c>
      <c r="G5" s="118">
        <v>80.44</v>
      </c>
      <c r="H5" s="121">
        <v>35196800</v>
      </c>
      <c r="I5" s="118">
        <v>2640161171.619</v>
      </c>
      <c r="J5" s="118">
        <v>36289342671.916</v>
      </c>
    </row>
    <row r="6" spans="1:10" ht="15" customHeight="1" x14ac:dyDescent="0.2">
      <c r="A6" s="117">
        <v>46081</v>
      </c>
      <c r="B6" s="118">
        <v>79.62</v>
      </c>
      <c r="C6" s="119">
        <v>-3.74</v>
      </c>
      <c r="D6" s="120">
        <v>-4.487E-2</v>
      </c>
      <c r="E6" s="118">
        <v>83.32</v>
      </c>
      <c r="F6" s="118">
        <v>78.91</v>
      </c>
      <c r="G6" s="118">
        <v>89.47</v>
      </c>
      <c r="H6" s="121">
        <v>29038999</v>
      </c>
      <c r="I6" s="118">
        <v>2451559408.4260001</v>
      </c>
      <c r="J6" s="118">
        <v>38929503843.535004</v>
      </c>
    </row>
    <row r="7" spans="1:10" ht="15" customHeight="1" x14ac:dyDescent="0.2">
      <c r="A7" s="117">
        <v>46053</v>
      </c>
      <c r="B7" s="118">
        <v>83.36</v>
      </c>
      <c r="C7" s="119">
        <v>2.27</v>
      </c>
      <c r="D7" s="120">
        <v>2.7990000000000001E-2</v>
      </c>
      <c r="E7" s="118">
        <v>81.05</v>
      </c>
      <c r="F7" s="118">
        <v>79.489999999999995</v>
      </c>
      <c r="G7" s="118">
        <v>85.16</v>
      </c>
      <c r="H7" s="121">
        <v>21662800</v>
      </c>
      <c r="I7" s="118">
        <v>1786036552.796</v>
      </c>
      <c r="J7" s="118">
        <v>41381063251.960999</v>
      </c>
    </row>
    <row r="8" spans="1:10" ht="15" customHeight="1" x14ac:dyDescent="0.2">
      <c r="A8" s="117">
        <v>46022</v>
      </c>
      <c r="B8" s="118">
        <v>81.09</v>
      </c>
      <c r="C8" s="119">
        <v>-0.79</v>
      </c>
      <c r="D8" s="120">
        <v>-9.6500000000000006E-3</v>
      </c>
      <c r="E8" s="118">
        <v>81.97</v>
      </c>
      <c r="F8" s="118">
        <v>79.73</v>
      </c>
      <c r="G8" s="118">
        <v>82.85</v>
      </c>
      <c r="H8" s="121">
        <v>25890504</v>
      </c>
      <c r="I8" s="118">
        <v>2100621683.911</v>
      </c>
      <c r="J8" s="118">
        <v>39595026699.165001</v>
      </c>
    </row>
    <row r="9" spans="1:10" ht="15" customHeight="1" x14ac:dyDescent="0.2">
      <c r="A9" s="117">
        <v>45991</v>
      </c>
      <c r="B9" s="118">
        <v>81.88</v>
      </c>
      <c r="C9" s="119">
        <v>-0.61399999999999999</v>
      </c>
      <c r="D9" s="120">
        <v>-7.45E-3</v>
      </c>
      <c r="E9" s="118">
        <v>81.424000000000007</v>
      </c>
      <c r="F9" s="118">
        <v>78.8</v>
      </c>
      <c r="G9" s="118">
        <v>83.369</v>
      </c>
      <c r="H9" s="121">
        <v>32332415</v>
      </c>
      <c r="I9" s="118">
        <v>2632422620.3280001</v>
      </c>
      <c r="J9" s="118">
        <v>41695648383.075996</v>
      </c>
    </row>
    <row r="10" spans="1:10" ht="15" customHeight="1" x14ac:dyDescent="0.2">
      <c r="A10" s="117">
        <v>45961</v>
      </c>
      <c r="B10" s="118">
        <v>82.494</v>
      </c>
      <c r="C10" s="119">
        <v>-7.8760000000000003</v>
      </c>
      <c r="D10" s="120">
        <v>-8.7150000000000005E-2</v>
      </c>
      <c r="E10" s="118">
        <v>90.646000000000001</v>
      </c>
      <c r="F10" s="118">
        <v>82.494</v>
      </c>
      <c r="G10" s="118">
        <v>93.003</v>
      </c>
      <c r="H10" s="121">
        <v>32226965</v>
      </c>
      <c r="I10" s="118">
        <v>2887421732.329</v>
      </c>
      <c r="J10" s="118">
        <v>44328071003.403999</v>
      </c>
    </row>
    <row r="11" spans="1:10" ht="15" customHeight="1" x14ac:dyDescent="0.2">
      <c r="A11" s="117">
        <v>45930</v>
      </c>
      <c r="B11" s="118">
        <v>90.370999999999995</v>
      </c>
      <c r="C11" s="119">
        <v>0.20599999999999999</v>
      </c>
      <c r="D11" s="120">
        <v>2.2899999999999999E-3</v>
      </c>
      <c r="E11" s="118">
        <v>89.546000000000006</v>
      </c>
      <c r="F11" s="118">
        <v>86.158000000000001</v>
      </c>
      <c r="G11" s="118">
        <v>92.707999999999998</v>
      </c>
      <c r="H11" s="121">
        <v>31923770</v>
      </c>
      <c r="I11" s="118">
        <v>2928311194.875</v>
      </c>
      <c r="J11" s="118">
        <v>47215492735.733002</v>
      </c>
    </row>
    <row r="12" spans="1:10" ht="15" customHeight="1" x14ac:dyDescent="0.2">
      <c r="A12" s="117">
        <v>45900</v>
      </c>
      <c r="B12" s="118">
        <v>90.165000000000006</v>
      </c>
      <c r="C12" s="119">
        <v>5.9509999999999996</v>
      </c>
      <c r="D12" s="120">
        <v>7.0669999999999997E-2</v>
      </c>
      <c r="E12" s="118">
        <v>82.867999999999995</v>
      </c>
      <c r="F12" s="118">
        <v>82.808999999999997</v>
      </c>
      <c r="G12" s="118">
        <v>93.468999999999994</v>
      </c>
      <c r="H12" s="121">
        <v>39080238</v>
      </c>
      <c r="I12" s="118">
        <v>3527713233.8940001</v>
      </c>
      <c r="J12" s="118">
        <v>44287181540.858002</v>
      </c>
    </row>
    <row r="13" spans="1:10" ht="15" customHeight="1" x14ac:dyDescent="0.2">
      <c r="A13" s="117">
        <v>45869</v>
      </c>
      <c r="B13" s="118">
        <v>84.212999999999994</v>
      </c>
      <c r="C13" s="119">
        <v>0.98199999999999998</v>
      </c>
      <c r="D13" s="120">
        <v>1.18E-2</v>
      </c>
      <c r="E13" s="118">
        <v>83.28</v>
      </c>
      <c r="F13" s="118">
        <v>80.078999999999994</v>
      </c>
      <c r="G13" s="118">
        <v>84.251999999999995</v>
      </c>
      <c r="H13" s="121">
        <v>26476048</v>
      </c>
      <c r="I13" s="118">
        <v>2213988169.1760001</v>
      </c>
      <c r="J13" s="118">
        <v>40759468306.963997</v>
      </c>
    </row>
    <row r="14" spans="1:10" ht="15" customHeight="1" x14ac:dyDescent="0.2">
      <c r="A14" s="117">
        <v>45838</v>
      </c>
      <c r="B14" s="118">
        <v>83.230999999999995</v>
      </c>
      <c r="C14" s="119">
        <v>1.6990000000000001</v>
      </c>
      <c r="D14" s="120">
        <v>2.0840000000000001E-2</v>
      </c>
      <c r="E14" s="118">
        <v>81.512</v>
      </c>
      <c r="F14" s="118">
        <v>80.903999999999996</v>
      </c>
      <c r="G14" s="118">
        <v>84.36</v>
      </c>
      <c r="H14" s="121">
        <v>26459518</v>
      </c>
      <c r="I14" s="118">
        <v>2211846755.3299999</v>
      </c>
      <c r="J14" s="118">
        <v>38545480137.788002</v>
      </c>
    </row>
    <row r="15" spans="1:10" ht="15" customHeight="1" x14ac:dyDescent="0.2">
      <c r="A15" s="117">
        <v>45808</v>
      </c>
      <c r="B15" s="118">
        <v>81.531999999999996</v>
      </c>
      <c r="C15" s="119">
        <v>4.6159999999999997</v>
      </c>
      <c r="D15" s="120">
        <v>6.0010000000000001E-2</v>
      </c>
      <c r="E15" s="118">
        <v>77.004999999999995</v>
      </c>
      <c r="F15" s="118">
        <v>76.316999999999993</v>
      </c>
      <c r="G15" s="118">
        <v>82.897000000000006</v>
      </c>
      <c r="H15" s="121">
        <v>32823180</v>
      </c>
      <c r="I15" s="118">
        <v>2676702591.6550002</v>
      </c>
      <c r="J15" s="118">
        <v>36333633382.458</v>
      </c>
    </row>
    <row r="16" spans="1:10" ht="15" customHeight="1" x14ac:dyDescent="0.2">
      <c r="A16" s="117">
        <v>45777</v>
      </c>
      <c r="B16" s="118">
        <v>76.915999999999997</v>
      </c>
      <c r="C16" s="119">
        <v>6.1970000000000001</v>
      </c>
      <c r="D16" s="120">
        <v>8.763E-2</v>
      </c>
      <c r="E16" s="118">
        <v>71.004000000000005</v>
      </c>
      <c r="F16" s="118">
        <v>66.486999999999995</v>
      </c>
      <c r="G16" s="118">
        <v>76.984999999999999</v>
      </c>
      <c r="H16" s="121">
        <v>28876516</v>
      </c>
      <c r="I16" s="118">
        <v>2121150855.533</v>
      </c>
      <c r="J16" s="118">
        <v>33656930790.803001</v>
      </c>
    </row>
    <row r="17" spans="1:10" ht="15" customHeight="1" x14ac:dyDescent="0.2">
      <c r="A17" s="117">
        <v>45747</v>
      </c>
      <c r="B17" s="118">
        <v>70.718999999999994</v>
      </c>
      <c r="C17" s="119">
        <v>-2.1110000000000002</v>
      </c>
      <c r="D17" s="120">
        <v>-2.8989999999999998E-2</v>
      </c>
      <c r="E17" s="118">
        <v>73.046999999999997</v>
      </c>
      <c r="F17" s="118">
        <v>67.42</v>
      </c>
      <c r="G17" s="118">
        <v>73.674999999999997</v>
      </c>
      <c r="H17" s="121">
        <v>33448282</v>
      </c>
      <c r="I17" s="118">
        <v>2394222821.513</v>
      </c>
      <c r="J17" s="118">
        <v>31535779935.27</v>
      </c>
    </row>
    <row r="18" spans="1:10" ht="15" customHeight="1" x14ac:dyDescent="0.2">
      <c r="A18" s="117">
        <v>45716</v>
      </c>
      <c r="B18" s="118">
        <v>72.831000000000003</v>
      </c>
      <c r="C18" s="119">
        <v>-2.3959999999999999</v>
      </c>
      <c r="D18" s="120">
        <v>-3.1850000000000003E-2</v>
      </c>
      <c r="E18" s="118">
        <v>73.468999999999994</v>
      </c>
      <c r="F18" s="118">
        <v>72.575999999999993</v>
      </c>
      <c r="G18" s="118">
        <v>78.006</v>
      </c>
      <c r="H18" s="121">
        <v>31739852</v>
      </c>
      <c r="I18" s="118">
        <v>2416898796.2249999</v>
      </c>
      <c r="J18" s="118">
        <v>33930002756.783001</v>
      </c>
    </row>
    <row r="19" spans="1:10" ht="15" customHeight="1" x14ac:dyDescent="0.2">
      <c r="A19" s="117">
        <v>45688</v>
      </c>
      <c r="B19" s="118">
        <v>75.227000000000004</v>
      </c>
      <c r="C19" s="119">
        <v>4.9790000000000001</v>
      </c>
      <c r="D19" s="120">
        <v>7.0879999999999999E-2</v>
      </c>
      <c r="E19" s="118">
        <v>69.885000000000005</v>
      </c>
      <c r="F19" s="118">
        <v>68.903000000000006</v>
      </c>
      <c r="G19" s="118">
        <v>76.248000000000005</v>
      </c>
      <c r="H19" s="121">
        <v>20240851</v>
      </c>
      <c r="I19" s="118">
        <v>1482607629.2650001</v>
      </c>
      <c r="J19" s="118">
        <v>36346901553.008003</v>
      </c>
    </row>
    <row r="20" spans="1:10" ht="15" customHeight="1" x14ac:dyDescent="0.2">
      <c r="A20" s="117">
        <v>45657</v>
      </c>
      <c r="B20" s="118">
        <v>70.248000000000005</v>
      </c>
      <c r="C20" s="119">
        <v>-0.29499999999999998</v>
      </c>
      <c r="D20" s="120">
        <v>-4.1799999999999997E-3</v>
      </c>
      <c r="E20" s="118">
        <v>70.463999999999999</v>
      </c>
      <c r="F20" s="118">
        <v>68.313000000000002</v>
      </c>
      <c r="G20" s="118">
        <v>74.52</v>
      </c>
      <c r="H20" s="121">
        <v>23633211</v>
      </c>
      <c r="I20" s="118">
        <v>1721274663.128</v>
      </c>
      <c r="J20" s="118">
        <v>34864293923.742996</v>
      </c>
    </row>
    <row r="21" spans="1:10" ht="15" customHeight="1" x14ac:dyDescent="0.2">
      <c r="A21" s="117">
        <v>45626</v>
      </c>
      <c r="B21" s="118">
        <v>70.543000000000006</v>
      </c>
      <c r="C21" s="119">
        <v>4.468</v>
      </c>
      <c r="D21" s="120">
        <v>6.7629999999999996E-2</v>
      </c>
      <c r="E21" s="118">
        <v>65.602999999999994</v>
      </c>
      <c r="F21" s="118">
        <v>65.058000000000007</v>
      </c>
      <c r="G21" s="118">
        <v>71.741</v>
      </c>
      <c r="H21" s="121">
        <v>25671855</v>
      </c>
      <c r="I21" s="118">
        <v>1794753913.921</v>
      </c>
      <c r="J21" s="118">
        <v>36585568586.871002</v>
      </c>
    </row>
    <row r="22" spans="1:10" ht="15" customHeight="1" x14ac:dyDescent="0.2">
      <c r="A22" s="117">
        <v>45596</v>
      </c>
      <c r="B22" s="118">
        <v>66.073999999999998</v>
      </c>
      <c r="C22" s="119">
        <v>-3.0939999999999999</v>
      </c>
      <c r="D22" s="120">
        <v>-4.4729999999999999E-2</v>
      </c>
      <c r="E22" s="118">
        <v>68.991</v>
      </c>
      <c r="F22" s="118">
        <v>65.808999999999997</v>
      </c>
      <c r="G22" s="118">
        <v>70.100999999999999</v>
      </c>
      <c r="H22" s="121">
        <v>26002090</v>
      </c>
      <c r="I22" s="118">
        <v>1803761696.1070001</v>
      </c>
      <c r="J22" s="118">
        <v>34790814672.949997</v>
      </c>
    </row>
    <row r="23" spans="1:10" ht="15" customHeight="1" x14ac:dyDescent="0.2">
      <c r="A23" s="117">
        <v>45565</v>
      </c>
      <c r="B23" s="118">
        <v>69.168000000000006</v>
      </c>
      <c r="C23" s="119">
        <v>-2.1309999999999998</v>
      </c>
      <c r="D23" s="120">
        <v>-2.989E-2</v>
      </c>
      <c r="E23" s="118">
        <v>70.415000000000006</v>
      </c>
      <c r="F23" s="118">
        <v>67.498000000000005</v>
      </c>
      <c r="G23" s="118">
        <v>72.772000000000006</v>
      </c>
      <c r="H23" s="121">
        <v>31232381</v>
      </c>
      <c r="I23" s="118">
        <v>2195792530.645</v>
      </c>
      <c r="J23" s="118">
        <v>36594576369.056999</v>
      </c>
    </row>
    <row r="24" spans="1:10" ht="15" customHeight="1" x14ac:dyDescent="0.2">
      <c r="A24" s="117">
        <v>45535</v>
      </c>
      <c r="B24" s="118">
        <v>71.299000000000007</v>
      </c>
      <c r="C24" s="119">
        <v>-1.0309999999999999</v>
      </c>
      <c r="D24" s="120">
        <v>-1.426E-2</v>
      </c>
      <c r="E24" s="118">
        <v>72.674000000000007</v>
      </c>
      <c r="F24" s="118">
        <v>67.576999999999998</v>
      </c>
      <c r="G24" s="118">
        <v>75.816000000000003</v>
      </c>
      <c r="H24" s="121">
        <v>30938888</v>
      </c>
      <c r="I24" s="118">
        <v>2264580075.2729998</v>
      </c>
      <c r="J24" s="118">
        <v>38790368899.702003</v>
      </c>
    </row>
    <row r="25" spans="1:10" ht="15" customHeight="1" x14ac:dyDescent="0.2">
      <c r="A25" s="117">
        <v>45504</v>
      </c>
      <c r="B25" s="118">
        <v>72.33</v>
      </c>
      <c r="C25" s="119">
        <v>8.3179999999999996</v>
      </c>
      <c r="D25" s="120">
        <v>0.12995000000000001</v>
      </c>
      <c r="E25" s="118">
        <v>63.353999999999999</v>
      </c>
      <c r="F25" s="118">
        <v>62.823</v>
      </c>
      <c r="G25" s="118">
        <v>72.33</v>
      </c>
      <c r="H25" s="121">
        <v>31126052</v>
      </c>
      <c r="I25" s="118">
        <v>2138092092.3139999</v>
      </c>
      <c r="J25" s="118">
        <v>41054948974.974998</v>
      </c>
    </row>
    <row r="26" spans="1:10" ht="15" customHeight="1" x14ac:dyDescent="0.2">
      <c r="A26" s="117">
        <v>45473</v>
      </c>
      <c r="B26" s="118">
        <v>64.012</v>
      </c>
      <c r="C26" s="119">
        <v>0.28499999999999998</v>
      </c>
      <c r="D26" s="120">
        <v>4.47E-3</v>
      </c>
      <c r="E26" s="118">
        <v>64.227999999999994</v>
      </c>
      <c r="F26" s="118">
        <v>62.381999999999998</v>
      </c>
      <c r="G26" s="118">
        <v>67.016999999999996</v>
      </c>
      <c r="H26" s="121">
        <v>34752413</v>
      </c>
      <c r="I26" s="118">
        <v>2301016375.8670001</v>
      </c>
      <c r="J26" s="118">
        <v>38916856882.661003</v>
      </c>
    </row>
    <row r="27" spans="1:10" ht="15" customHeight="1" x14ac:dyDescent="0.2">
      <c r="A27" s="117">
        <v>45443</v>
      </c>
      <c r="B27" s="118">
        <v>63.726999999999997</v>
      </c>
      <c r="C27" s="119">
        <v>-1.8660000000000001</v>
      </c>
      <c r="D27" s="120">
        <v>-2.845E-2</v>
      </c>
      <c r="E27" s="118">
        <v>64.855999999999995</v>
      </c>
      <c r="F27" s="118">
        <v>61.93</v>
      </c>
      <c r="G27" s="118">
        <v>69.835999999999999</v>
      </c>
      <c r="H27" s="121">
        <v>43031918</v>
      </c>
      <c r="I27" s="118">
        <v>2883683928.7820001</v>
      </c>
      <c r="J27" s="118">
        <v>36615840506.793999</v>
      </c>
    </row>
    <row r="28" spans="1:10" ht="15" customHeight="1" x14ac:dyDescent="0.2">
      <c r="A28" s="117">
        <v>45412</v>
      </c>
      <c r="B28" s="118">
        <v>65.593000000000004</v>
      </c>
      <c r="C28" s="119">
        <v>-1.581</v>
      </c>
      <c r="D28" s="120">
        <v>-2.3539999999999998E-2</v>
      </c>
      <c r="E28" s="118">
        <v>66.536000000000001</v>
      </c>
      <c r="F28" s="118">
        <v>62.665999999999997</v>
      </c>
      <c r="G28" s="118">
        <v>67.320999999999998</v>
      </c>
      <c r="H28" s="121">
        <v>27880338</v>
      </c>
      <c r="I28" s="118">
        <v>1836953007.424</v>
      </c>
      <c r="J28" s="118">
        <v>39499524435.575996</v>
      </c>
    </row>
    <row r="29" spans="1:10" ht="15" customHeight="1" x14ac:dyDescent="0.2">
      <c r="A29" s="117">
        <v>45382</v>
      </c>
      <c r="B29" s="118">
        <v>67.174000000000007</v>
      </c>
      <c r="C29" s="119">
        <v>1.728</v>
      </c>
      <c r="D29" s="120">
        <v>2.6409999999999999E-2</v>
      </c>
      <c r="E29" s="118">
        <v>65.287999999999997</v>
      </c>
      <c r="F29" s="118">
        <v>63.432000000000002</v>
      </c>
      <c r="G29" s="118">
        <v>67.183999999999997</v>
      </c>
      <c r="H29" s="121">
        <v>31422637</v>
      </c>
      <c r="I29" s="118">
        <v>2081435293</v>
      </c>
      <c r="J29" s="118">
        <v>41336477443</v>
      </c>
    </row>
    <row r="30" spans="1:10" ht="15" customHeight="1" x14ac:dyDescent="0.2">
      <c r="A30" s="117">
        <v>45351</v>
      </c>
      <c r="B30" s="118">
        <v>65.445999999999998</v>
      </c>
      <c r="C30" s="119">
        <v>8.3179999999999996</v>
      </c>
      <c r="D30" s="120">
        <v>0.14560999999999999</v>
      </c>
      <c r="E30" s="118">
        <v>56.881999999999998</v>
      </c>
      <c r="F30" s="118">
        <v>55.88</v>
      </c>
      <c r="G30" s="118">
        <v>66.182000000000002</v>
      </c>
      <c r="H30" s="121">
        <v>40868361</v>
      </c>
      <c r="I30" s="118">
        <v>2533439923</v>
      </c>
      <c r="J30" s="118">
        <v>39255042150</v>
      </c>
    </row>
    <row r="31" spans="1:10" ht="15" customHeight="1" x14ac:dyDescent="0.2">
      <c r="A31" s="117">
        <v>45322</v>
      </c>
      <c r="B31" s="118">
        <v>57.127000000000002</v>
      </c>
      <c r="C31" s="119">
        <v>1.1100000000000001</v>
      </c>
      <c r="D31" s="120">
        <v>1.9810000000000001E-2</v>
      </c>
      <c r="E31" s="118">
        <v>55.978000000000002</v>
      </c>
      <c r="F31" s="118">
        <v>55.301000000000002</v>
      </c>
      <c r="G31" s="118">
        <v>57.648000000000003</v>
      </c>
      <c r="H31" s="121">
        <v>28478339</v>
      </c>
      <c r="I31" s="118">
        <v>1635761998</v>
      </c>
      <c r="J31" s="118">
        <v>36721602227</v>
      </c>
    </row>
    <row r="32" spans="1:10" ht="15" customHeight="1" x14ac:dyDescent="0.2">
      <c r="A32" s="117">
        <v>45291</v>
      </c>
      <c r="B32" s="118">
        <v>56.018000000000001</v>
      </c>
      <c r="C32" s="119">
        <v>4.3010000000000002</v>
      </c>
      <c r="D32" s="120">
        <v>8.3180000000000004E-2</v>
      </c>
      <c r="E32" s="118">
        <v>51.225000000000001</v>
      </c>
      <c r="F32" s="118">
        <v>51.097000000000001</v>
      </c>
      <c r="G32" s="118">
        <v>56.164999999999999</v>
      </c>
      <c r="H32" s="121">
        <v>29650274</v>
      </c>
      <c r="I32" s="118">
        <v>1619104208</v>
      </c>
      <c r="J32" s="118">
        <v>35085840229</v>
      </c>
    </row>
    <row r="33" spans="1:10" ht="15" customHeight="1" x14ac:dyDescent="0.2">
      <c r="A33" s="117">
        <v>45260</v>
      </c>
      <c r="B33" s="118">
        <v>51.716000000000001</v>
      </c>
      <c r="C33" s="119">
        <v>2.1019999999999999</v>
      </c>
      <c r="D33" s="120">
        <v>4.2360000000000002E-2</v>
      </c>
      <c r="E33" s="118">
        <v>50.027000000000001</v>
      </c>
      <c r="F33" s="118">
        <v>49.752000000000002</v>
      </c>
      <c r="G33" s="118">
        <v>53.277999999999999</v>
      </c>
      <c r="H33" s="121">
        <v>34136890</v>
      </c>
      <c r="I33" s="118">
        <v>1798918500</v>
      </c>
      <c r="J33" s="118">
        <v>33466736021</v>
      </c>
    </row>
    <row r="34" spans="1:10" ht="15" customHeight="1" x14ac:dyDescent="0.2">
      <c r="A34" s="117">
        <v>45230</v>
      </c>
      <c r="B34" s="118">
        <v>49.615000000000002</v>
      </c>
      <c r="C34" s="119">
        <v>-2.298</v>
      </c>
      <c r="D34" s="120">
        <v>-4.4269999999999997E-2</v>
      </c>
      <c r="E34" s="118">
        <v>52.021000000000001</v>
      </c>
      <c r="F34" s="118">
        <v>48.682000000000002</v>
      </c>
      <c r="G34" s="118">
        <v>52.226999999999997</v>
      </c>
      <c r="H34" s="121">
        <v>31940897</v>
      </c>
      <c r="I34" s="118">
        <v>1651907781</v>
      </c>
      <c r="J34" s="118">
        <v>31667817521</v>
      </c>
    </row>
    <row r="35" spans="1:10" ht="15" customHeight="1" x14ac:dyDescent="0.2">
      <c r="A35" s="117">
        <v>45199</v>
      </c>
      <c r="B35" s="118">
        <v>51.912999999999997</v>
      </c>
      <c r="C35" s="119">
        <v>-0.99199999999999999</v>
      </c>
      <c r="D35" s="120">
        <v>-1.8749999999999999E-2</v>
      </c>
      <c r="E35" s="118">
        <v>52.795999999999999</v>
      </c>
      <c r="F35" s="118">
        <v>51.323</v>
      </c>
      <c r="G35" s="118">
        <v>53.307000000000002</v>
      </c>
      <c r="H35" s="121">
        <v>33199574</v>
      </c>
      <c r="I35" s="118">
        <v>1769782016</v>
      </c>
      <c r="J35" s="118">
        <v>33319725302</v>
      </c>
    </row>
    <row r="36" spans="1:10" ht="15" customHeight="1" x14ac:dyDescent="0.2">
      <c r="A36" s="117">
        <v>45169</v>
      </c>
      <c r="B36" s="118">
        <v>52.904000000000003</v>
      </c>
      <c r="C36" s="119">
        <v>4.1440000000000001</v>
      </c>
      <c r="D36" s="120">
        <v>8.4989999999999996E-2</v>
      </c>
      <c r="E36" s="118">
        <v>48.857999999999997</v>
      </c>
      <c r="F36" s="118">
        <v>47.493000000000002</v>
      </c>
      <c r="G36" s="118">
        <v>53.110999999999997</v>
      </c>
      <c r="H36" s="121">
        <v>38464396</v>
      </c>
      <c r="I36" s="118">
        <v>1951219414</v>
      </c>
      <c r="J36" s="118">
        <v>35089507318</v>
      </c>
    </row>
    <row r="37" spans="1:10" ht="15" customHeight="1" x14ac:dyDescent="0.2">
      <c r="A37" s="117">
        <v>45138</v>
      </c>
      <c r="B37" s="118">
        <v>48.76</v>
      </c>
      <c r="C37" s="119">
        <v>0.30399999999999999</v>
      </c>
      <c r="D37" s="120">
        <v>6.28E-3</v>
      </c>
      <c r="E37" s="118">
        <v>48.415999999999997</v>
      </c>
      <c r="F37" s="118">
        <v>45.804000000000002</v>
      </c>
      <c r="G37" s="118">
        <v>49.521000000000001</v>
      </c>
      <c r="H37" s="121">
        <v>30558052</v>
      </c>
      <c r="I37" s="118">
        <v>1491872879</v>
      </c>
      <c r="J37" s="118">
        <v>33138287904</v>
      </c>
    </row>
    <row r="38" spans="1:10" ht="15" customHeight="1" x14ac:dyDescent="0.2">
      <c r="A38" s="117">
        <v>45107</v>
      </c>
      <c r="B38" s="118">
        <v>48.456000000000003</v>
      </c>
      <c r="C38" s="119">
        <v>1.64</v>
      </c>
      <c r="D38" s="120">
        <v>3.5029999999999999E-2</v>
      </c>
      <c r="E38" s="118">
        <v>47.070999999999998</v>
      </c>
      <c r="F38" s="118">
        <v>46.363999999999997</v>
      </c>
      <c r="G38" s="118">
        <v>49.226999999999997</v>
      </c>
      <c r="H38" s="121">
        <v>38471331</v>
      </c>
      <c r="I38" s="118">
        <v>1868363316</v>
      </c>
      <c r="J38" s="118">
        <v>31646415025</v>
      </c>
    </row>
    <row r="39" spans="1:10" ht="15" customHeight="1" x14ac:dyDescent="0.2">
      <c r="A39" s="117">
        <v>45077</v>
      </c>
      <c r="B39" s="118">
        <v>46.816000000000003</v>
      </c>
      <c r="C39" s="119">
        <v>-4.2229999999999999</v>
      </c>
      <c r="D39" s="120">
        <v>-8.2739999999999994E-2</v>
      </c>
      <c r="E39" s="118">
        <v>51.323</v>
      </c>
      <c r="F39" s="118">
        <v>46.776000000000003</v>
      </c>
      <c r="G39" s="118">
        <v>51.548999999999999</v>
      </c>
      <c r="H39" s="121">
        <v>33843468</v>
      </c>
      <c r="I39" s="118">
        <v>1707106681</v>
      </c>
      <c r="J39" s="118">
        <v>29778051709</v>
      </c>
    </row>
    <row r="40" spans="1:10" ht="15" customHeight="1" x14ac:dyDescent="0.2">
      <c r="A40" s="117">
        <v>45046</v>
      </c>
      <c r="B40" s="118">
        <v>51.039000000000001</v>
      </c>
      <c r="C40" s="119">
        <v>1.6890000000000001</v>
      </c>
      <c r="D40" s="120">
        <v>3.4229999999999997E-2</v>
      </c>
      <c r="E40" s="118">
        <v>49.594999999999999</v>
      </c>
      <c r="F40" s="118">
        <v>49.594999999999999</v>
      </c>
      <c r="G40" s="118">
        <v>51.844000000000001</v>
      </c>
      <c r="H40" s="121">
        <v>26917659</v>
      </c>
      <c r="I40" s="118">
        <v>1393699355</v>
      </c>
      <c r="J40" s="118">
        <v>31485158390</v>
      </c>
    </row>
    <row r="41" spans="1:10" ht="15" customHeight="1" x14ac:dyDescent="0.2">
      <c r="A41" s="117">
        <v>45016</v>
      </c>
      <c r="B41" s="118">
        <v>49.348999999999997</v>
      </c>
      <c r="C41" s="119">
        <v>1.974</v>
      </c>
      <c r="D41" s="120">
        <v>4.1669999999999999E-2</v>
      </c>
      <c r="E41" s="118">
        <v>47.533000000000001</v>
      </c>
      <c r="F41" s="118">
        <v>46.57</v>
      </c>
      <c r="G41" s="118">
        <v>49.957999999999998</v>
      </c>
      <c r="H41" s="121">
        <v>40692166</v>
      </c>
      <c r="I41" s="118">
        <v>2002710713</v>
      </c>
      <c r="J41" s="118">
        <v>30091459035</v>
      </c>
    </row>
    <row r="42" spans="1:10" ht="15" customHeight="1" x14ac:dyDescent="0.2">
      <c r="A42" s="117">
        <v>44985</v>
      </c>
      <c r="B42" s="118">
        <v>47.375</v>
      </c>
      <c r="C42" s="119">
        <v>-1.385</v>
      </c>
      <c r="D42" s="120">
        <v>-2.8400000000000002E-2</v>
      </c>
      <c r="E42" s="118">
        <v>48.887999999999998</v>
      </c>
      <c r="F42" s="118">
        <v>47.292000000000002</v>
      </c>
      <c r="G42" s="118">
        <v>50.557000000000002</v>
      </c>
      <c r="H42" s="121">
        <v>38209518</v>
      </c>
      <c r="I42" s="118">
        <v>1894203665</v>
      </c>
      <c r="J42" s="118">
        <v>28088748322</v>
      </c>
    </row>
    <row r="43" spans="1:10" ht="15" customHeight="1" x14ac:dyDescent="0.2">
      <c r="A43" s="117">
        <v>44957</v>
      </c>
      <c r="B43" s="118">
        <v>48.76</v>
      </c>
      <c r="C43" s="119">
        <v>3.673</v>
      </c>
      <c r="D43" s="120">
        <v>8.1460000000000005E-2</v>
      </c>
      <c r="E43" s="118">
        <v>45.195</v>
      </c>
      <c r="F43" s="118">
        <v>44.439</v>
      </c>
      <c r="G43" s="118">
        <v>49.173000000000002</v>
      </c>
      <c r="H43" s="121">
        <v>27094816</v>
      </c>
      <c r="I43" s="118">
        <v>1312536513</v>
      </c>
      <c r="J43" s="118">
        <v>29982951987</v>
      </c>
    </row>
    <row r="44" spans="1:10" ht="15" customHeight="1" x14ac:dyDescent="0.2">
      <c r="A44" s="117">
        <v>44926</v>
      </c>
      <c r="B44" s="118">
        <v>45.087000000000003</v>
      </c>
      <c r="C44" s="119">
        <v>-2.6120000000000001</v>
      </c>
      <c r="D44" s="120">
        <v>-5.4769999999999999E-2</v>
      </c>
      <c r="E44" s="118">
        <v>48.317999999999998</v>
      </c>
      <c r="F44" s="118">
        <v>44.320999999999998</v>
      </c>
      <c r="G44" s="118">
        <v>48.701000000000001</v>
      </c>
      <c r="H44" s="121">
        <v>29111772</v>
      </c>
      <c r="I44" s="118">
        <v>1377828463</v>
      </c>
      <c r="J44" s="118">
        <v>28670415474</v>
      </c>
    </row>
    <row r="45" spans="1:10" ht="15" customHeight="1" x14ac:dyDescent="0.2">
      <c r="A45" s="117">
        <v>44895</v>
      </c>
      <c r="B45" s="118">
        <v>47.698999999999998</v>
      </c>
      <c r="C45" s="119">
        <v>3.0539999999999998</v>
      </c>
      <c r="D45" s="120">
        <v>6.8409999999999999E-2</v>
      </c>
      <c r="E45" s="118">
        <v>44.723999999999997</v>
      </c>
      <c r="F45" s="118">
        <v>43.997</v>
      </c>
      <c r="G45" s="118">
        <v>48.706000000000003</v>
      </c>
      <c r="H45" s="121">
        <v>41531326</v>
      </c>
      <c r="I45" s="118">
        <v>1967685049</v>
      </c>
      <c r="J45" s="118">
        <v>30048243937</v>
      </c>
    </row>
    <row r="46" spans="1:10" ht="15" customHeight="1" x14ac:dyDescent="0.2">
      <c r="A46" s="117">
        <v>44865</v>
      </c>
      <c r="B46" s="118">
        <v>44.645000000000003</v>
      </c>
      <c r="C46" s="119">
        <v>2.6909999999999998</v>
      </c>
      <c r="D46" s="120">
        <v>6.4140000000000003E-2</v>
      </c>
      <c r="E46" s="118">
        <v>42.121000000000002</v>
      </c>
      <c r="F46" s="118">
        <v>41.67</v>
      </c>
      <c r="G46" s="118">
        <v>44.875999999999998</v>
      </c>
      <c r="H46" s="121">
        <v>34670257</v>
      </c>
      <c r="I46" s="118">
        <v>1545332428</v>
      </c>
      <c r="J46" s="118">
        <v>28080558888</v>
      </c>
    </row>
    <row r="47" spans="1:10" ht="15" customHeight="1" x14ac:dyDescent="0.2">
      <c r="A47" s="117">
        <v>44834</v>
      </c>
      <c r="B47" s="118">
        <v>41.954000000000001</v>
      </c>
      <c r="C47" s="119">
        <v>-4.2130000000000001</v>
      </c>
      <c r="D47" s="120">
        <v>-9.1259999999999994E-2</v>
      </c>
      <c r="E47" s="118">
        <v>45.5</v>
      </c>
      <c r="F47" s="118">
        <v>41.845999999999997</v>
      </c>
      <c r="G47" s="118">
        <v>47.777999999999999</v>
      </c>
      <c r="H47" s="121">
        <v>42731481</v>
      </c>
      <c r="I47" s="118">
        <v>1946709620</v>
      </c>
      <c r="J47" s="118">
        <v>26535226460</v>
      </c>
    </row>
    <row r="48" spans="1:10" ht="15" customHeight="1" x14ac:dyDescent="0.2">
      <c r="A48" s="117">
        <v>44804</v>
      </c>
      <c r="B48" s="118">
        <v>46.167000000000002</v>
      </c>
      <c r="C48" s="119">
        <v>0.373</v>
      </c>
      <c r="D48" s="120">
        <v>8.1499999999999993E-3</v>
      </c>
      <c r="E48" s="118">
        <v>45.755000000000003</v>
      </c>
      <c r="F48" s="118">
        <v>45.372</v>
      </c>
      <c r="G48" s="118">
        <v>48.387</v>
      </c>
      <c r="H48" s="121">
        <v>37224725</v>
      </c>
      <c r="I48" s="118">
        <v>1771363059</v>
      </c>
      <c r="J48" s="118">
        <v>28481936080</v>
      </c>
    </row>
    <row r="49" spans="1:10" ht="15" customHeight="1" x14ac:dyDescent="0.2">
      <c r="A49" s="117">
        <v>44773</v>
      </c>
      <c r="B49" s="118">
        <v>45.793999999999997</v>
      </c>
      <c r="C49" s="119">
        <v>4.6349999999999998</v>
      </c>
      <c r="D49" s="120">
        <v>0.11262</v>
      </c>
      <c r="E49" s="118">
        <v>41.581000000000003</v>
      </c>
      <c r="F49" s="118">
        <v>41.395000000000003</v>
      </c>
      <c r="G49" s="118">
        <v>46.875</v>
      </c>
      <c r="H49" s="121">
        <v>36531123</v>
      </c>
      <c r="I49" s="118">
        <v>1659587539</v>
      </c>
      <c r="J49" s="118">
        <v>26710573021</v>
      </c>
    </row>
    <row r="50" spans="1:10" ht="15" customHeight="1" x14ac:dyDescent="0.2">
      <c r="A50" s="117">
        <v>44742</v>
      </c>
      <c r="B50" s="118">
        <v>41.158999999999999</v>
      </c>
      <c r="C50" s="119">
        <v>-5.1849999999999996</v>
      </c>
      <c r="D50" s="120">
        <v>-0.11189</v>
      </c>
      <c r="E50" s="118">
        <v>46.698</v>
      </c>
      <c r="F50" s="118">
        <v>39.313000000000002</v>
      </c>
      <c r="G50" s="118">
        <v>47.012</v>
      </c>
      <c r="H50" s="121">
        <v>54775183</v>
      </c>
      <c r="I50" s="118">
        <v>2384269192</v>
      </c>
      <c r="J50" s="118">
        <v>25050985482</v>
      </c>
    </row>
    <row r="51" spans="1:10" ht="15" customHeight="1" x14ac:dyDescent="0.2">
      <c r="A51" s="117">
        <v>44712</v>
      </c>
      <c r="B51" s="118">
        <v>46.344000000000001</v>
      </c>
      <c r="C51" s="119">
        <v>-2.1800000000000002</v>
      </c>
      <c r="D51" s="120">
        <v>-4.4929999999999998E-2</v>
      </c>
      <c r="E51" s="118">
        <v>48.366999999999997</v>
      </c>
      <c r="F51" s="118">
        <v>45.067999999999998</v>
      </c>
      <c r="G51" s="118">
        <v>49.448</v>
      </c>
      <c r="H51" s="121">
        <v>45138081</v>
      </c>
      <c r="I51" s="118">
        <v>2172774634</v>
      </c>
      <c r="J51" s="118">
        <v>27435254674</v>
      </c>
    </row>
    <row r="52" spans="1:10" ht="15" customHeight="1" x14ac:dyDescent="0.2">
      <c r="A52" s="117">
        <v>44681</v>
      </c>
      <c r="B52" s="118">
        <v>48.524000000000001</v>
      </c>
      <c r="C52" s="119">
        <v>-0.98199999999999998</v>
      </c>
      <c r="D52" s="120">
        <v>-1.984E-2</v>
      </c>
      <c r="E52" s="118">
        <v>49.103999999999999</v>
      </c>
      <c r="F52" s="118">
        <v>46.918999999999997</v>
      </c>
      <c r="G52" s="118">
        <v>49.673000000000002</v>
      </c>
      <c r="H52" s="121">
        <v>39670132</v>
      </c>
      <c r="I52" s="118">
        <v>1948298322</v>
      </c>
      <c r="J52" s="118">
        <v>29608029308</v>
      </c>
    </row>
    <row r="53" spans="1:10" ht="15" customHeight="1" x14ac:dyDescent="0.2">
      <c r="A53" s="117">
        <v>44651</v>
      </c>
      <c r="B53" s="118">
        <v>49.506999999999998</v>
      </c>
      <c r="C53" s="119">
        <v>2.1800000000000002</v>
      </c>
      <c r="D53" s="120">
        <v>4.607E-2</v>
      </c>
      <c r="E53" s="118">
        <v>47.728999999999999</v>
      </c>
      <c r="F53" s="118">
        <v>46.795999999999999</v>
      </c>
      <c r="G53" s="118">
        <v>50.734000000000002</v>
      </c>
      <c r="H53" s="121">
        <v>47303712</v>
      </c>
      <c r="I53" s="118">
        <v>2357801989</v>
      </c>
      <c r="J53" s="118">
        <v>31556327630</v>
      </c>
    </row>
    <row r="54" spans="1:10" ht="15" customHeight="1" x14ac:dyDescent="0.2">
      <c r="A54" s="117">
        <v>44620</v>
      </c>
      <c r="B54" s="118">
        <v>47.326000000000001</v>
      </c>
      <c r="C54" s="119">
        <v>-4.4390000000000001</v>
      </c>
      <c r="D54" s="120">
        <v>-8.5750000000000007E-2</v>
      </c>
      <c r="E54" s="118">
        <v>52.07</v>
      </c>
      <c r="F54" s="118">
        <v>46.594999999999999</v>
      </c>
      <c r="G54" s="118">
        <v>54.201000000000001</v>
      </c>
      <c r="H54" s="121">
        <v>47550072</v>
      </c>
      <c r="I54" s="118">
        <v>2441469446</v>
      </c>
      <c r="J54" s="118">
        <v>29198525641</v>
      </c>
    </row>
    <row r="55" spans="1:10" ht="15" customHeight="1" x14ac:dyDescent="0.2">
      <c r="A55" s="117">
        <v>44592</v>
      </c>
      <c r="B55" s="118">
        <v>51.765000000000001</v>
      </c>
      <c r="C55" s="119">
        <v>-6.4720000000000004</v>
      </c>
      <c r="D55" s="120">
        <v>-0.11113000000000001</v>
      </c>
      <c r="E55" s="118">
        <v>58.747999999999998</v>
      </c>
      <c r="F55" s="118">
        <v>48.947000000000003</v>
      </c>
      <c r="G55" s="118">
        <v>59.238999999999997</v>
      </c>
      <c r="H55" s="121">
        <v>46319872</v>
      </c>
      <c r="I55" s="118">
        <v>2508836886</v>
      </c>
      <c r="J55" s="118">
        <v>31639995087</v>
      </c>
    </row>
    <row r="56" spans="1:10" ht="15" customHeight="1" x14ac:dyDescent="0.2">
      <c r="A56" s="117">
        <v>44561</v>
      </c>
      <c r="B56" s="118">
        <v>58.237000000000002</v>
      </c>
      <c r="C56" s="119">
        <v>2.3959999999999999</v>
      </c>
      <c r="D56" s="120">
        <v>4.2909999999999997E-2</v>
      </c>
      <c r="E56" s="118">
        <v>56.322000000000003</v>
      </c>
      <c r="F56" s="118">
        <v>55.506999999999998</v>
      </c>
      <c r="G56" s="118">
        <v>59.691000000000003</v>
      </c>
      <c r="H56" s="121">
        <v>31842177</v>
      </c>
      <c r="I56" s="118">
        <v>1870999455</v>
      </c>
      <c r="J56" s="118">
        <v>34148831973</v>
      </c>
    </row>
    <row r="57" spans="1:10" ht="15" customHeight="1" x14ac:dyDescent="0.2">
      <c r="A57" s="117">
        <v>44530</v>
      </c>
      <c r="B57" s="118">
        <v>55.841000000000001</v>
      </c>
      <c r="C57" s="119">
        <v>1.478</v>
      </c>
      <c r="D57" s="120">
        <v>2.7189999999999999E-2</v>
      </c>
      <c r="E57" s="118">
        <v>55.256</v>
      </c>
      <c r="F57" s="118">
        <v>54.771000000000001</v>
      </c>
      <c r="G57" s="118">
        <v>58.709000000000003</v>
      </c>
      <c r="H57" s="121">
        <v>33417101</v>
      </c>
      <c r="I57" s="118">
        <v>1968413473</v>
      </c>
      <c r="J57" s="118">
        <v>32277832518</v>
      </c>
    </row>
    <row r="58" spans="1:10" ht="15" customHeight="1" x14ac:dyDescent="0.2">
      <c r="A58" s="117">
        <v>44500</v>
      </c>
      <c r="B58" s="118">
        <v>54.363</v>
      </c>
      <c r="C58" s="119">
        <v>1.4239999999999999</v>
      </c>
      <c r="D58" s="120">
        <v>2.691E-2</v>
      </c>
      <c r="E58" s="118">
        <v>52.225999999999999</v>
      </c>
      <c r="F58" s="118">
        <v>51.115000000000002</v>
      </c>
      <c r="G58" s="118">
        <v>55.645000000000003</v>
      </c>
      <c r="H58" s="121">
        <v>32604988</v>
      </c>
      <c r="I58" s="118">
        <v>1816080189</v>
      </c>
      <c r="J58" s="118">
        <v>30309419045</v>
      </c>
    </row>
    <row r="59" spans="1:10" ht="15" customHeight="1" x14ac:dyDescent="0.2">
      <c r="A59" s="117">
        <v>44469</v>
      </c>
      <c r="B59" s="118">
        <v>52.939</v>
      </c>
      <c r="C59" s="119">
        <v>-3.988</v>
      </c>
      <c r="D59" s="120">
        <v>-7.0059999999999997E-2</v>
      </c>
      <c r="E59" s="118">
        <v>55.283999999999999</v>
      </c>
      <c r="F59" s="118">
        <v>52.235999999999997</v>
      </c>
      <c r="G59" s="118">
        <v>55.625999999999998</v>
      </c>
      <c r="H59" s="121">
        <v>43046224</v>
      </c>
      <c r="I59" s="118">
        <v>2451433262</v>
      </c>
      <c r="J59" s="118">
        <v>28493338856</v>
      </c>
    </row>
    <row r="60" spans="1:10" ht="15" customHeight="1" x14ac:dyDescent="0.2">
      <c r="A60" s="117">
        <v>44439</v>
      </c>
      <c r="B60" s="118">
        <v>56.927</v>
      </c>
      <c r="C60" s="119">
        <v>-1.1299999999999999</v>
      </c>
      <c r="D60" s="120">
        <v>-1.9460000000000002E-2</v>
      </c>
      <c r="E60" s="118">
        <v>58.664000000000001</v>
      </c>
      <c r="F60" s="118">
        <v>56.898000000000003</v>
      </c>
      <c r="G60" s="118">
        <v>63.811</v>
      </c>
      <c r="H60" s="121">
        <v>34788598</v>
      </c>
      <c r="I60" s="118">
        <v>2202013898</v>
      </c>
      <c r="J60" s="118">
        <v>30944772118</v>
      </c>
    </row>
    <row r="61" spans="1:10" ht="15" customHeight="1" x14ac:dyDescent="0.2">
      <c r="A61" s="117">
        <v>44408</v>
      </c>
      <c r="B61" s="118">
        <v>58.057000000000002</v>
      </c>
      <c r="C61" s="119">
        <v>1.9370000000000001</v>
      </c>
      <c r="D61" s="120">
        <v>3.4520000000000002E-2</v>
      </c>
      <c r="E61" s="118">
        <v>56.12</v>
      </c>
      <c r="F61" s="118">
        <v>54.676000000000002</v>
      </c>
      <c r="G61" s="118">
        <v>59.529000000000003</v>
      </c>
      <c r="H61" s="121">
        <v>31057894</v>
      </c>
      <c r="I61" s="118">
        <v>1855613203</v>
      </c>
      <c r="J61" s="118">
        <v>33146786016</v>
      </c>
    </row>
    <row r="62" spans="1:10" ht="15" customHeight="1" x14ac:dyDescent="0.2">
      <c r="A62" s="117">
        <v>44377</v>
      </c>
      <c r="B62" s="118">
        <v>56.12</v>
      </c>
      <c r="C62" s="119">
        <v>3.5230000000000001</v>
      </c>
      <c r="D62" s="120">
        <v>6.6979999999999998E-2</v>
      </c>
      <c r="E62" s="118">
        <v>52.454000000000001</v>
      </c>
      <c r="F62" s="118">
        <v>51.466999999999999</v>
      </c>
      <c r="G62" s="118">
        <v>56.594000000000001</v>
      </c>
      <c r="H62" s="121">
        <v>34177593</v>
      </c>
      <c r="I62" s="118">
        <v>1929793655</v>
      </c>
      <c r="J62" s="118">
        <v>31291172813</v>
      </c>
    </row>
    <row r="63" spans="1:10" ht="15" customHeight="1" x14ac:dyDescent="0.2">
      <c r="A63" s="117">
        <v>44347</v>
      </c>
      <c r="B63" s="118">
        <v>52.597000000000001</v>
      </c>
      <c r="C63" s="119">
        <v>1.2150000000000001</v>
      </c>
      <c r="D63" s="120">
        <v>2.366E-2</v>
      </c>
      <c r="E63" s="118">
        <v>51.381</v>
      </c>
      <c r="F63" s="118">
        <v>50.441000000000003</v>
      </c>
      <c r="G63" s="118">
        <v>53.128</v>
      </c>
      <c r="H63" s="121">
        <v>26892662</v>
      </c>
      <c r="I63" s="118">
        <v>1465918384</v>
      </c>
      <c r="J63" s="118">
        <v>29361379158</v>
      </c>
    </row>
    <row r="64" spans="1:10" ht="15" customHeight="1" x14ac:dyDescent="0.2">
      <c r="A64" s="117">
        <v>44316</v>
      </c>
      <c r="B64" s="118">
        <v>51.381</v>
      </c>
      <c r="C64" s="119">
        <v>1.367</v>
      </c>
      <c r="D64" s="120">
        <v>2.734E-2</v>
      </c>
      <c r="E64" s="118">
        <v>50.517000000000003</v>
      </c>
      <c r="F64" s="118">
        <v>49.975999999999999</v>
      </c>
      <c r="G64" s="118">
        <v>53.356000000000002</v>
      </c>
      <c r="H64" s="121">
        <v>29264172</v>
      </c>
      <c r="I64" s="118">
        <v>1601884796</v>
      </c>
      <c r="J64" s="118">
        <v>27895460774</v>
      </c>
    </row>
    <row r="65" spans="1:10" ht="15" customHeight="1" x14ac:dyDescent="0.2">
      <c r="A65" s="117">
        <v>44286</v>
      </c>
      <c r="B65" s="118">
        <v>50.014000000000003</v>
      </c>
      <c r="C65" s="119">
        <v>3.2570000000000001</v>
      </c>
      <c r="D65" s="120">
        <v>6.966E-2</v>
      </c>
      <c r="E65" s="118">
        <v>47.326999999999998</v>
      </c>
      <c r="F65" s="118">
        <v>46.784999999999997</v>
      </c>
      <c r="G65" s="118">
        <v>50.802</v>
      </c>
      <c r="H65" s="121">
        <v>37873189</v>
      </c>
      <c r="I65" s="118">
        <v>1926578852</v>
      </c>
      <c r="J65" s="118">
        <v>26293575978</v>
      </c>
    </row>
    <row r="66" spans="1:10" ht="15" customHeight="1" x14ac:dyDescent="0.2">
      <c r="A66" s="117">
        <v>44255</v>
      </c>
      <c r="B66" s="118">
        <v>46.756999999999998</v>
      </c>
      <c r="C66" s="119">
        <v>-5.0990000000000002</v>
      </c>
      <c r="D66" s="120">
        <v>-9.8330000000000001E-2</v>
      </c>
      <c r="E66" s="118">
        <v>51.552</v>
      </c>
      <c r="F66" s="118">
        <v>46.537999999999997</v>
      </c>
      <c r="G66" s="118">
        <v>53.555999999999997</v>
      </c>
      <c r="H66" s="121">
        <v>36806410</v>
      </c>
      <c r="I66" s="118">
        <v>1964726910</v>
      </c>
      <c r="J66" s="118">
        <v>24366997126</v>
      </c>
    </row>
    <row r="67" spans="1:10" ht="15" customHeight="1" x14ac:dyDescent="0.2">
      <c r="A67" s="117">
        <v>44227</v>
      </c>
      <c r="B67" s="118">
        <v>51.856000000000002</v>
      </c>
      <c r="C67" s="119">
        <v>3.9980000000000002</v>
      </c>
      <c r="D67" s="120">
        <v>8.3529999999999993E-2</v>
      </c>
      <c r="E67" s="118">
        <v>48.219000000000001</v>
      </c>
      <c r="F67" s="118">
        <v>47.610999999999997</v>
      </c>
      <c r="G67" s="118">
        <v>52.768000000000001</v>
      </c>
      <c r="H67" s="121">
        <v>32201181</v>
      </c>
      <c r="I67" s="118">
        <v>1673393748</v>
      </c>
      <c r="J67" s="118">
        <v>26331724036</v>
      </c>
    </row>
    <row r="68" spans="1:10" ht="15" customHeight="1" x14ac:dyDescent="0.2">
      <c r="A68" s="117">
        <v>44196</v>
      </c>
      <c r="B68" s="118">
        <v>47.857999999999997</v>
      </c>
      <c r="C68" s="119">
        <v>0.90200000000000002</v>
      </c>
      <c r="D68" s="120">
        <v>1.9210000000000001E-2</v>
      </c>
      <c r="E68" s="118">
        <v>46.832999999999998</v>
      </c>
      <c r="F68" s="118">
        <v>46.576000000000001</v>
      </c>
      <c r="G68" s="118">
        <v>49.292000000000002</v>
      </c>
      <c r="H68" s="121">
        <v>36516547</v>
      </c>
      <c r="I68" s="118">
        <v>1831552376</v>
      </c>
      <c r="J68" s="118">
        <v>24658330288</v>
      </c>
    </row>
    <row r="69" spans="1:10" ht="15" customHeight="1" x14ac:dyDescent="0.2">
      <c r="A69" s="117">
        <v>44165</v>
      </c>
      <c r="B69" s="118">
        <v>46.956000000000003</v>
      </c>
      <c r="C69" s="119">
        <v>3.3140000000000001</v>
      </c>
      <c r="D69" s="120">
        <v>7.5939999999999994E-2</v>
      </c>
      <c r="E69" s="118">
        <v>43.585000000000001</v>
      </c>
      <c r="F69" s="118">
        <v>43.329000000000001</v>
      </c>
      <c r="G69" s="118">
        <v>48.115000000000002</v>
      </c>
      <c r="H69" s="121">
        <v>45153615</v>
      </c>
      <c r="I69" s="118">
        <v>2187526245</v>
      </c>
      <c r="J69" s="118">
        <v>22826777912</v>
      </c>
    </row>
    <row r="70" spans="1:10" ht="15" customHeight="1" x14ac:dyDescent="0.2">
      <c r="A70" s="117">
        <v>44135</v>
      </c>
      <c r="B70" s="118">
        <v>43.642000000000003</v>
      </c>
      <c r="C70" s="119">
        <v>1.462</v>
      </c>
      <c r="D70" s="120">
        <v>3.4669999999999999E-2</v>
      </c>
      <c r="E70" s="118">
        <v>42.465000000000003</v>
      </c>
      <c r="F70" s="118">
        <v>42.094000000000001</v>
      </c>
      <c r="G70" s="118">
        <v>46.216000000000001</v>
      </c>
      <c r="H70" s="121">
        <v>36102883</v>
      </c>
      <c r="I70" s="118">
        <v>1672169628</v>
      </c>
      <c r="J70" s="118">
        <v>20639251667</v>
      </c>
    </row>
    <row r="71" spans="1:10" ht="15" customHeight="1" x14ac:dyDescent="0.2">
      <c r="A71" s="117">
        <v>44104</v>
      </c>
      <c r="B71" s="118">
        <v>42.18</v>
      </c>
      <c r="C71" s="119">
        <v>-2.944</v>
      </c>
      <c r="D71" s="120">
        <v>-6.5240000000000006E-2</v>
      </c>
      <c r="E71" s="118">
        <v>44.554000000000002</v>
      </c>
      <c r="F71" s="118">
        <v>41.305999999999997</v>
      </c>
      <c r="G71" s="118">
        <v>46.442999999999998</v>
      </c>
      <c r="H71" s="121">
        <v>51422681</v>
      </c>
      <c r="I71" s="118">
        <v>2334718952</v>
      </c>
      <c r="J71" s="118">
        <v>18967082039</v>
      </c>
    </row>
    <row r="72" spans="1:10" ht="15" customHeight="1" x14ac:dyDescent="0.2">
      <c r="A72" s="117">
        <v>44074</v>
      </c>
      <c r="B72" s="118">
        <v>45.124000000000002</v>
      </c>
      <c r="C72" s="119">
        <v>1.0820000000000001</v>
      </c>
      <c r="D72" s="120">
        <v>2.4570000000000002E-2</v>
      </c>
      <c r="E72" s="118">
        <v>43.417000000000002</v>
      </c>
      <c r="F72" s="118">
        <v>43.124000000000002</v>
      </c>
      <c r="G72" s="118">
        <v>47.164999999999999</v>
      </c>
      <c r="H72" s="121">
        <v>48074885</v>
      </c>
      <c r="I72" s="118">
        <v>2294908605</v>
      </c>
      <c r="J72" s="118">
        <v>21301800991</v>
      </c>
    </row>
    <row r="73" spans="1:10" ht="15" customHeight="1" x14ac:dyDescent="0.2">
      <c r="A73" s="117">
        <v>44043</v>
      </c>
      <c r="B73" s="118">
        <v>44.042000000000002</v>
      </c>
      <c r="C73" s="119">
        <v>1.627</v>
      </c>
      <c r="D73" s="120">
        <v>3.8370000000000001E-2</v>
      </c>
      <c r="E73" s="118">
        <v>42.271999999999998</v>
      </c>
      <c r="F73" s="118">
        <v>42.026000000000003</v>
      </c>
      <c r="G73" s="118">
        <v>44.761000000000003</v>
      </c>
      <c r="H73" s="121">
        <v>42637206</v>
      </c>
      <c r="I73" s="118">
        <v>1954589706</v>
      </c>
      <c r="J73" s="118">
        <v>19006892386</v>
      </c>
    </row>
    <row r="74" spans="1:10" ht="15" customHeight="1" x14ac:dyDescent="0.2">
      <c r="A74" s="117">
        <v>44012</v>
      </c>
      <c r="B74" s="118">
        <v>42.414000000000001</v>
      </c>
      <c r="C74" s="119">
        <v>4.22</v>
      </c>
      <c r="D74" s="120">
        <v>0.11047999999999999</v>
      </c>
      <c r="E74" s="118">
        <v>37.712000000000003</v>
      </c>
      <c r="F74" s="118">
        <v>37.636000000000003</v>
      </c>
      <c r="G74" s="118">
        <v>42.868000000000002</v>
      </c>
      <c r="H74" s="121">
        <v>61927853</v>
      </c>
      <c r="I74" s="118">
        <v>2646681447</v>
      </c>
      <c r="J74" s="118">
        <v>17052302680</v>
      </c>
    </row>
    <row r="75" spans="1:10" ht="15" customHeight="1" x14ac:dyDescent="0.2">
      <c r="A75" s="117">
        <v>43982</v>
      </c>
      <c r="B75" s="118">
        <v>38.195</v>
      </c>
      <c r="C75" s="119">
        <v>2.536</v>
      </c>
      <c r="D75" s="120">
        <v>7.1110000000000007E-2</v>
      </c>
      <c r="E75" s="118">
        <v>35.024999999999999</v>
      </c>
      <c r="F75" s="118">
        <v>33.832999999999998</v>
      </c>
      <c r="G75" s="118">
        <v>39.093000000000004</v>
      </c>
      <c r="H75" s="121">
        <v>41483102</v>
      </c>
      <c r="I75" s="118">
        <v>1595558684</v>
      </c>
      <c r="J75" s="118">
        <v>14405621233</v>
      </c>
    </row>
    <row r="76" spans="1:10" ht="15" customHeight="1" x14ac:dyDescent="0.2">
      <c r="A76" s="117">
        <v>43951</v>
      </c>
      <c r="B76" s="118">
        <v>35.658999999999999</v>
      </c>
      <c r="C76" s="119">
        <v>3.2360000000000002</v>
      </c>
      <c r="D76" s="120">
        <v>9.98E-2</v>
      </c>
      <c r="E76" s="118">
        <v>33.103999999999999</v>
      </c>
      <c r="F76" s="118">
        <v>32.167999999999999</v>
      </c>
      <c r="G76" s="118">
        <v>36.643000000000001</v>
      </c>
      <c r="H76" s="121">
        <v>52957665</v>
      </c>
      <c r="I76" s="118">
        <v>1945425438</v>
      </c>
      <c r="J76" s="118">
        <v>12810062549</v>
      </c>
    </row>
    <row r="77" spans="1:10" ht="15" customHeight="1" x14ac:dyDescent="0.2">
      <c r="A77" s="117">
        <v>43921</v>
      </c>
      <c r="B77" s="118">
        <v>32.423000000000002</v>
      </c>
      <c r="C77" s="119">
        <v>-6.0359999999999996</v>
      </c>
      <c r="D77" s="120">
        <v>-0.15695000000000001</v>
      </c>
      <c r="E77" s="118">
        <v>37.655000000000001</v>
      </c>
      <c r="F77" s="118">
        <v>28.146999999999998</v>
      </c>
      <c r="G77" s="118">
        <v>38.875999999999998</v>
      </c>
      <c r="H77" s="121">
        <v>110522915</v>
      </c>
      <c r="I77" s="118">
        <v>3958960638</v>
      </c>
      <c r="J77" s="118">
        <v>10864637111</v>
      </c>
    </row>
    <row r="78" spans="1:10" ht="15" customHeight="1" x14ac:dyDescent="0.2">
      <c r="A78" s="117">
        <v>43890</v>
      </c>
      <c r="B78" s="118">
        <v>38.459000000000003</v>
      </c>
      <c r="C78" s="119">
        <v>-4.3140000000000001</v>
      </c>
      <c r="D78" s="120">
        <v>-0.10086000000000001</v>
      </c>
      <c r="E78" s="118">
        <v>42.386000000000003</v>
      </c>
      <c r="F78" s="118">
        <v>38.345999999999997</v>
      </c>
      <c r="G78" s="118">
        <v>44.86</v>
      </c>
      <c r="H78" s="121">
        <v>45142556</v>
      </c>
      <c r="I78" s="118">
        <v>1999242203</v>
      </c>
      <c r="J78" s="118">
        <v>14823597749</v>
      </c>
    </row>
    <row r="79" spans="1:10" ht="15" customHeight="1" x14ac:dyDescent="0.2">
      <c r="A79" s="117">
        <v>43861</v>
      </c>
      <c r="B79" s="118">
        <v>42.774000000000001</v>
      </c>
      <c r="C79" s="119">
        <v>3.605</v>
      </c>
      <c r="D79" s="120">
        <v>9.2030000000000001E-2</v>
      </c>
      <c r="E79" s="118">
        <v>38.743000000000002</v>
      </c>
      <c r="F79" s="118">
        <v>38.743000000000002</v>
      </c>
      <c r="G79" s="118">
        <v>43.076999999999998</v>
      </c>
      <c r="H79" s="121">
        <v>36375409</v>
      </c>
      <c r="I79" s="118">
        <v>1577696031</v>
      </c>
      <c r="J79" s="118">
        <v>16822839952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9"/>
  <sheetViews>
    <sheetView zoomScaleNormal="100" workbookViewId="0">
      <selection activeCell="B2" sqref="B2"/>
    </sheetView>
  </sheetViews>
  <sheetFormatPr baseColWidth="10" defaultColWidth="10.6640625" defaultRowHeight="15" x14ac:dyDescent="0.2"/>
  <cols>
    <col min="8" max="8" width="11.33203125" customWidth="1"/>
    <col min="9" max="9" width="15.1640625" customWidth="1"/>
    <col min="10" max="10" width="16.5" customWidth="1"/>
  </cols>
  <sheetData>
    <row r="1" spans="1:10" ht="15" customHeight="1" x14ac:dyDescent="0.2">
      <c r="A1" s="115" t="s">
        <v>720</v>
      </c>
      <c r="B1" s="115" t="s">
        <v>721</v>
      </c>
      <c r="C1" s="115" t="s">
        <v>722</v>
      </c>
      <c r="D1" s="115" t="s">
        <v>723</v>
      </c>
      <c r="E1" s="115" t="s">
        <v>724</v>
      </c>
      <c r="F1" s="115" t="s">
        <v>725</v>
      </c>
      <c r="G1" s="115" t="s">
        <v>726</v>
      </c>
      <c r="H1" s="115" t="s">
        <v>727</v>
      </c>
      <c r="I1" s="115" t="s">
        <v>728</v>
      </c>
      <c r="J1" s="116" t="s">
        <v>729</v>
      </c>
    </row>
    <row r="2" spans="1:10" ht="15" customHeight="1" x14ac:dyDescent="0.2">
      <c r="A2" s="122">
        <v>46203</v>
      </c>
      <c r="B2" s="123">
        <v>8724.4</v>
      </c>
      <c r="C2" s="124">
        <v>-7.3000000000010896</v>
      </c>
      <c r="D2" s="125">
        <v>-8.3603422014053301E-4</v>
      </c>
      <c r="E2" s="123">
        <v>8731.7000000000007</v>
      </c>
      <c r="F2" s="123">
        <v>8625.7999999999993</v>
      </c>
      <c r="G2" s="123">
        <v>8736.5</v>
      </c>
      <c r="H2" s="126">
        <v>1438363523</v>
      </c>
      <c r="I2" s="123">
        <v>14536138656</v>
      </c>
      <c r="J2" s="123">
        <v>3176765991313</v>
      </c>
    </row>
    <row r="3" spans="1:10" ht="15" customHeight="1" x14ac:dyDescent="0.2">
      <c r="A3" s="122">
        <v>46173</v>
      </c>
      <c r="B3" s="123">
        <v>8731.7000000000007</v>
      </c>
      <c r="C3" s="124">
        <v>65.900000000001498</v>
      </c>
      <c r="D3" s="125">
        <v>7.6046066145077701E-3</v>
      </c>
      <c r="E3" s="123">
        <v>8665.7999999999993</v>
      </c>
      <c r="F3" s="123">
        <v>8485.2000000000007</v>
      </c>
      <c r="G3" s="123">
        <v>8887.9</v>
      </c>
      <c r="H3" s="126">
        <v>15078197442</v>
      </c>
      <c r="I3" s="123">
        <v>158667804785</v>
      </c>
      <c r="J3" s="123">
        <v>3191302129969</v>
      </c>
    </row>
    <row r="4" spans="1:10" ht="15" customHeight="1" x14ac:dyDescent="0.2">
      <c r="A4" s="122">
        <v>46142</v>
      </c>
      <c r="B4" s="123">
        <v>8665.7999999999993</v>
      </c>
      <c r="C4" s="124">
        <v>184</v>
      </c>
      <c r="D4" s="125">
        <v>2.1693508453394302E-2</v>
      </c>
      <c r="E4" s="123">
        <v>8481.7999999999993</v>
      </c>
      <c r="F4" s="123">
        <v>8481.7999999999993</v>
      </c>
      <c r="G4" s="123">
        <v>9021.5</v>
      </c>
      <c r="H4" s="126">
        <v>14586715624</v>
      </c>
      <c r="I4" s="123">
        <v>142325273944</v>
      </c>
      <c r="J4" s="123">
        <v>3032634325184</v>
      </c>
    </row>
    <row r="5" spans="1:10" ht="15" customHeight="1" x14ac:dyDescent="0.2">
      <c r="A5" s="122">
        <v>46112</v>
      </c>
      <c r="B5" s="123">
        <v>8481.7999999999993</v>
      </c>
      <c r="C5" s="124">
        <v>-716.80000000000098</v>
      </c>
      <c r="D5" s="125">
        <v>-7.7924901615463296E-2</v>
      </c>
      <c r="E5" s="123">
        <v>9198.6</v>
      </c>
      <c r="F5" s="123">
        <v>8262.4</v>
      </c>
      <c r="G5" s="123">
        <v>9200.9</v>
      </c>
      <c r="H5" s="126">
        <v>19831072574</v>
      </c>
      <c r="I5" s="123">
        <v>195551273969</v>
      </c>
      <c r="J5" s="123">
        <v>2890309051240</v>
      </c>
    </row>
    <row r="6" spans="1:10" ht="15" customHeight="1" x14ac:dyDescent="0.2">
      <c r="A6" s="122">
        <v>46081</v>
      </c>
      <c r="B6" s="123">
        <v>9198.6</v>
      </c>
      <c r="C6" s="124">
        <v>329.5</v>
      </c>
      <c r="D6" s="125">
        <v>3.7151458434339403E-2</v>
      </c>
      <c r="E6" s="123">
        <v>8869.1</v>
      </c>
      <c r="F6" s="123">
        <v>8683.7000000000007</v>
      </c>
      <c r="G6" s="123">
        <v>9202.9</v>
      </c>
      <c r="H6" s="126">
        <v>15226198926</v>
      </c>
      <c r="I6" s="123">
        <v>161240002910</v>
      </c>
      <c r="J6" s="123">
        <v>3085860325209</v>
      </c>
    </row>
    <row r="7" spans="1:10" ht="15" customHeight="1" x14ac:dyDescent="0.2">
      <c r="A7" s="122">
        <v>46053</v>
      </c>
      <c r="B7" s="123">
        <v>8869.1</v>
      </c>
      <c r="C7" s="124">
        <v>154.80000000000101</v>
      </c>
      <c r="D7" s="125">
        <v>1.7763905305073401E-2</v>
      </c>
      <c r="E7" s="123">
        <v>8714.2999999999993</v>
      </c>
      <c r="F7" s="123">
        <v>8675.6</v>
      </c>
      <c r="G7" s="123">
        <v>8978.5</v>
      </c>
      <c r="H7" s="126">
        <v>12187342793</v>
      </c>
      <c r="I7" s="123">
        <v>126727079007</v>
      </c>
      <c r="J7" s="123">
        <v>2924620322299</v>
      </c>
    </row>
    <row r="8" spans="1:10" ht="15" customHeight="1" x14ac:dyDescent="0.2">
      <c r="A8" s="122">
        <v>46022</v>
      </c>
      <c r="B8" s="123">
        <v>8714.2999999999993</v>
      </c>
      <c r="C8" s="124">
        <v>100.19999999999899</v>
      </c>
      <c r="D8" s="125">
        <v>1.16320915707966E-2</v>
      </c>
      <c r="E8" s="123">
        <v>8614.1</v>
      </c>
      <c r="F8" s="123">
        <v>8547.1</v>
      </c>
      <c r="G8" s="123">
        <v>8805.5</v>
      </c>
      <c r="H8" s="126">
        <v>13136543247</v>
      </c>
      <c r="I8" s="123">
        <v>131090869543</v>
      </c>
      <c r="J8" s="123">
        <v>2797893243292</v>
      </c>
    </row>
    <row r="9" spans="1:10" ht="15" customHeight="1" x14ac:dyDescent="0.2">
      <c r="A9" s="122">
        <v>45991</v>
      </c>
      <c r="B9" s="123">
        <v>8614.1</v>
      </c>
      <c r="C9" s="124">
        <v>-267.79999999999899</v>
      </c>
      <c r="D9" s="125">
        <v>-3.0151206386020899E-2</v>
      </c>
      <c r="E9" s="123">
        <v>8881.9</v>
      </c>
      <c r="F9" s="123">
        <v>8383.2000000000007</v>
      </c>
      <c r="G9" s="123">
        <v>8894.7999999999993</v>
      </c>
      <c r="H9" s="126">
        <v>13453553009</v>
      </c>
      <c r="I9" s="123">
        <v>140051823222</v>
      </c>
      <c r="J9" s="123">
        <v>2666802373749</v>
      </c>
    </row>
    <row r="10" spans="1:10" ht="15" customHeight="1" x14ac:dyDescent="0.2">
      <c r="A10" s="122">
        <v>45961</v>
      </c>
      <c r="B10" s="123">
        <v>8881.9</v>
      </c>
      <c r="C10" s="124">
        <v>33.100000000000399</v>
      </c>
      <c r="D10" s="125">
        <v>3.7406201970889099E-3</v>
      </c>
      <c r="E10" s="123">
        <v>8848.7999999999993</v>
      </c>
      <c r="F10" s="123">
        <v>8809</v>
      </c>
      <c r="G10" s="123">
        <v>9115.2000000000007</v>
      </c>
      <c r="H10" s="126">
        <v>15555119470</v>
      </c>
      <c r="I10" s="123">
        <v>152824628369</v>
      </c>
      <c r="J10" s="123">
        <v>2806854196971</v>
      </c>
    </row>
    <row r="11" spans="1:10" ht="15" customHeight="1" x14ac:dyDescent="0.2">
      <c r="A11" s="122">
        <v>45930</v>
      </c>
      <c r="B11" s="123">
        <v>8848.7999999999993</v>
      </c>
      <c r="C11" s="124">
        <v>-124.30000000000101</v>
      </c>
      <c r="D11" s="125">
        <v>-1.38525147384963E-2</v>
      </c>
      <c r="E11" s="123">
        <v>8973.1</v>
      </c>
      <c r="F11" s="123">
        <v>8731.2999999999993</v>
      </c>
      <c r="G11" s="123">
        <v>8973.1</v>
      </c>
      <c r="H11" s="126">
        <v>17242693679</v>
      </c>
      <c r="I11" s="123">
        <v>158744767714</v>
      </c>
      <c r="J11" s="123">
        <v>2654029568602</v>
      </c>
    </row>
    <row r="12" spans="1:10" ht="15" customHeight="1" x14ac:dyDescent="0.2">
      <c r="A12" s="122">
        <v>45900</v>
      </c>
      <c r="B12" s="123">
        <v>8973.1</v>
      </c>
      <c r="C12" s="124">
        <v>230.30000000000101</v>
      </c>
      <c r="D12" s="125">
        <v>2.6341675435787301E-2</v>
      </c>
      <c r="E12" s="123">
        <v>8742.7999999999993</v>
      </c>
      <c r="F12" s="123">
        <v>8630.9</v>
      </c>
      <c r="G12" s="123">
        <v>9054.5</v>
      </c>
      <c r="H12" s="126">
        <v>15145750500</v>
      </c>
      <c r="I12" s="123">
        <v>150497828195</v>
      </c>
      <c r="J12" s="123">
        <v>2812774336316</v>
      </c>
    </row>
    <row r="13" spans="1:10" ht="15" customHeight="1" x14ac:dyDescent="0.2">
      <c r="A13" s="122">
        <v>45869</v>
      </c>
      <c r="B13" s="123">
        <v>8742.7999999999993</v>
      </c>
      <c r="C13" s="124">
        <v>200.5</v>
      </c>
      <c r="D13" s="125">
        <v>2.3471430411013398E-2</v>
      </c>
      <c r="E13" s="123">
        <v>8542.2999999999993</v>
      </c>
      <c r="F13" s="123">
        <v>8531.4</v>
      </c>
      <c r="G13" s="123">
        <v>8776.4</v>
      </c>
      <c r="H13" s="126">
        <v>14678876386</v>
      </c>
      <c r="I13" s="123">
        <v>133270468526</v>
      </c>
      <c r="J13" s="123">
        <v>2662276508121</v>
      </c>
    </row>
    <row r="14" spans="1:10" ht="15" customHeight="1" x14ac:dyDescent="0.2">
      <c r="A14" s="122">
        <v>45838</v>
      </c>
      <c r="B14" s="123">
        <v>8542.2999999999993</v>
      </c>
      <c r="C14" s="124">
        <v>107.599999999999</v>
      </c>
      <c r="D14" s="125">
        <v>1.2756825968914001E-2</v>
      </c>
      <c r="E14" s="123">
        <v>8434.7000000000007</v>
      </c>
      <c r="F14" s="123">
        <v>8401.1</v>
      </c>
      <c r="G14" s="123">
        <v>8639.1</v>
      </c>
      <c r="H14" s="126">
        <v>15624789388</v>
      </c>
      <c r="I14" s="123">
        <v>139854309886</v>
      </c>
      <c r="J14" s="123">
        <v>2529006039595</v>
      </c>
    </row>
    <row r="15" spans="1:10" ht="15" customHeight="1" x14ac:dyDescent="0.2">
      <c r="A15" s="122">
        <v>45808</v>
      </c>
      <c r="B15" s="123">
        <v>8434.7000000000007</v>
      </c>
      <c r="C15" s="124">
        <v>308.50000000000102</v>
      </c>
      <c r="D15" s="125">
        <v>3.7963623834018502E-2</v>
      </c>
      <c r="E15" s="123">
        <v>8126.2</v>
      </c>
      <c r="F15" s="123">
        <v>8109.7</v>
      </c>
      <c r="G15" s="123">
        <v>8453</v>
      </c>
      <c r="H15" s="126">
        <v>16637520714</v>
      </c>
      <c r="I15" s="123">
        <v>147231557878</v>
      </c>
      <c r="J15" s="123">
        <v>2389151729709</v>
      </c>
    </row>
    <row r="16" spans="1:10" ht="15" customHeight="1" x14ac:dyDescent="0.2">
      <c r="A16" s="122">
        <v>45777</v>
      </c>
      <c r="B16" s="123">
        <v>8126.2</v>
      </c>
      <c r="C16" s="124">
        <v>282.8</v>
      </c>
      <c r="D16" s="125">
        <v>3.6055792130963597E-2</v>
      </c>
      <c r="E16" s="123">
        <v>7843.4</v>
      </c>
      <c r="F16" s="123">
        <v>7169.2</v>
      </c>
      <c r="G16" s="123">
        <v>8126.2</v>
      </c>
      <c r="H16" s="126">
        <v>15770920781</v>
      </c>
      <c r="I16" s="123">
        <v>135207860693</v>
      </c>
      <c r="J16" s="123">
        <v>2241920171831</v>
      </c>
    </row>
    <row r="17" spans="1:10" ht="15" customHeight="1" x14ac:dyDescent="0.2">
      <c r="A17" s="122">
        <v>45747</v>
      </c>
      <c r="B17" s="123">
        <v>7843.4</v>
      </c>
      <c r="C17" s="124">
        <v>-329</v>
      </c>
      <c r="D17" s="125">
        <v>-4.02574519113112E-2</v>
      </c>
      <c r="E17" s="123">
        <v>8172.4</v>
      </c>
      <c r="F17" s="123">
        <v>7733.5</v>
      </c>
      <c r="G17" s="123">
        <v>8251.9</v>
      </c>
      <c r="H17" s="126">
        <v>17221314900</v>
      </c>
      <c r="I17" s="123">
        <v>146009767740</v>
      </c>
      <c r="J17" s="123">
        <v>2106712311138</v>
      </c>
    </row>
    <row r="18" spans="1:10" ht="15" customHeight="1" x14ac:dyDescent="0.2">
      <c r="A18" s="122">
        <v>45716</v>
      </c>
      <c r="B18" s="123">
        <v>8172.4</v>
      </c>
      <c r="C18" s="124">
        <v>-359.9</v>
      </c>
      <c r="D18" s="125">
        <v>-4.2180889092038501E-2</v>
      </c>
      <c r="E18" s="123">
        <v>8532.2999999999993</v>
      </c>
      <c r="F18" s="123">
        <v>8155.5</v>
      </c>
      <c r="G18" s="123">
        <v>8615.2000000000007</v>
      </c>
      <c r="H18" s="126">
        <v>14748436576</v>
      </c>
      <c r="I18" s="123">
        <v>136299697713</v>
      </c>
      <c r="J18" s="123">
        <v>2252722078878</v>
      </c>
    </row>
    <row r="19" spans="1:10" ht="15" customHeight="1" x14ac:dyDescent="0.2">
      <c r="A19" s="122">
        <v>45688</v>
      </c>
      <c r="B19" s="123">
        <v>8532.2999999999993</v>
      </c>
      <c r="C19" s="124">
        <v>373.19999999999902</v>
      </c>
      <c r="D19" s="125">
        <v>4.5740339007978699E-2</v>
      </c>
      <c r="E19" s="123">
        <v>8159.1</v>
      </c>
      <c r="F19" s="123">
        <v>8146.6</v>
      </c>
      <c r="G19" s="123">
        <v>8566.9</v>
      </c>
      <c r="H19" s="126">
        <v>10737220812</v>
      </c>
      <c r="I19" s="123">
        <v>89439632223</v>
      </c>
      <c r="J19" s="123">
        <v>2389021776591</v>
      </c>
    </row>
    <row r="20" spans="1:10" ht="15" customHeight="1" x14ac:dyDescent="0.2">
      <c r="A20" s="122">
        <v>45657</v>
      </c>
      <c r="B20" s="123">
        <v>8159.1</v>
      </c>
      <c r="C20" s="124">
        <v>-277.10000000000002</v>
      </c>
      <c r="D20" s="125">
        <v>-3.28465422820702E-2</v>
      </c>
      <c r="E20" s="123">
        <v>8436.2000000000007</v>
      </c>
      <c r="F20" s="123">
        <v>8051.2</v>
      </c>
      <c r="G20" s="123">
        <v>8514.5</v>
      </c>
      <c r="H20" s="126">
        <v>11145051894</v>
      </c>
      <c r="I20" s="123">
        <v>101410437024</v>
      </c>
      <c r="J20" s="123">
        <v>2299582144368</v>
      </c>
    </row>
    <row r="21" spans="1:10" ht="15" customHeight="1" x14ac:dyDescent="0.2">
      <c r="A21" s="122">
        <v>45626</v>
      </c>
      <c r="B21" s="123">
        <v>8436.2000000000007</v>
      </c>
      <c r="C21" s="124">
        <v>276.20000000000101</v>
      </c>
      <c r="D21" s="125">
        <v>3.3848039215686403E-2</v>
      </c>
      <c r="E21" s="123">
        <v>8160</v>
      </c>
      <c r="F21" s="123">
        <v>8063.2</v>
      </c>
      <c r="G21" s="123">
        <v>8477.1</v>
      </c>
      <c r="H21" s="126">
        <v>12158174808</v>
      </c>
      <c r="I21" s="123">
        <v>118108306667</v>
      </c>
      <c r="J21" s="123">
        <v>2400992581392</v>
      </c>
    </row>
    <row r="22" spans="1:10" ht="15" customHeight="1" x14ac:dyDescent="0.2">
      <c r="A22" s="122">
        <v>45596</v>
      </c>
      <c r="B22" s="123">
        <v>8160</v>
      </c>
      <c r="C22" s="124">
        <v>-109.799999999999</v>
      </c>
      <c r="D22" s="125">
        <v>-1.32772255677283E-2</v>
      </c>
      <c r="E22" s="123">
        <v>8269.7999999999993</v>
      </c>
      <c r="F22" s="123">
        <v>8107.6</v>
      </c>
      <c r="G22" s="123">
        <v>8384.5</v>
      </c>
      <c r="H22" s="126">
        <v>13307543328</v>
      </c>
      <c r="I22" s="123">
        <v>121925695047</v>
      </c>
      <c r="J22" s="123">
        <v>2282884274725</v>
      </c>
    </row>
    <row r="23" spans="1:10" ht="15" customHeight="1" x14ac:dyDescent="0.2">
      <c r="A23" s="122">
        <v>45565</v>
      </c>
      <c r="B23" s="123">
        <v>8269.7999999999993</v>
      </c>
      <c r="C23" s="124">
        <v>177.9</v>
      </c>
      <c r="D23" s="125">
        <v>2.1984947910873801E-2</v>
      </c>
      <c r="E23" s="123">
        <v>8091.8</v>
      </c>
      <c r="F23" s="123">
        <v>7918.9</v>
      </c>
      <c r="G23" s="123">
        <v>8285.7000000000007</v>
      </c>
      <c r="H23" s="126">
        <v>15720826577</v>
      </c>
      <c r="I23" s="123">
        <v>137429081560</v>
      </c>
      <c r="J23" s="123">
        <v>2404809969772</v>
      </c>
    </row>
    <row r="24" spans="1:10" ht="15" customHeight="1" x14ac:dyDescent="0.2">
      <c r="A24" s="122">
        <v>45535</v>
      </c>
      <c r="B24" s="123">
        <v>8091.9</v>
      </c>
      <c r="C24" s="124">
        <v>-0.40000000000054597</v>
      </c>
      <c r="D24" s="125">
        <v>-4.94297047811556E-5</v>
      </c>
      <c r="E24" s="123">
        <v>8092.3</v>
      </c>
      <c r="F24" s="123">
        <v>7628.1</v>
      </c>
      <c r="G24" s="123">
        <v>8148.7</v>
      </c>
      <c r="H24" s="126">
        <v>15032489349</v>
      </c>
      <c r="I24" s="123">
        <v>129604315810</v>
      </c>
      <c r="J24" s="123">
        <v>2267380888212</v>
      </c>
    </row>
    <row r="25" spans="1:10" ht="15" customHeight="1" x14ac:dyDescent="0.2">
      <c r="A25" s="122">
        <v>45504</v>
      </c>
      <c r="B25" s="123">
        <v>8092.3</v>
      </c>
      <c r="C25" s="124">
        <v>324.8</v>
      </c>
      <c r="D25" s="125">
        <v>4.18152558738333E-2</v>
      </c>
      <c r="E25" s="123">
        <v>7767.5</v>
      </c>
      <c r="F25" s="123">
        <v>7702.5</v>
      </c>
      <c r="G25" s="123">
        <v>8092.3</v>
      </c>
      <c r="H25" s="126">
        <v>12789171177</v>
      </c>
      <c r="I25" s="123">
        <v>112482976547</v>
      </c>
      <c r="J25" s="123">
        <v>2396985204022</v>
      </c>
    </row>
    <row r="26" spans="1:10" ht="15" customHeight="1" x14ac:dyDescent="0.2">
      <c r="A26" s="122">
        <v>45473</v>
      </c>
      <c r="B26" s="123">
        <v>7767.5</v>
      </c>
      <c r="C26" s="124">
        <v>65.800000000000196</v>
      </c>
      <c r="D26" s="125">
        <v>8.5435683031019408E-3</v>
      </c>
      <c r="E26" s="123">
        <v>7701.7</v>
      </c>
      <c r="F26" s="123">
        <v>7654.2</v>
      </c>
      <c r="G26" s="123">
        <v>7861.8</v>
      </c>
      <c r="H26" s="126">
        <v>12751908546</v>
      </c>
      <c r="I26" s="123">
        <v>112188241900</v>
      </c>
      <c r="J26" s="123">
        <v>2284502227475</v>
      </c>
    </row>
    <row r="27" spans="1:10" ht="15" customHeight="1" x14ac:dyDescent="0.2">
      <c r="A27" s="122">
        <v>45443</v>
      </c>
      <c r="B27" s="123">
        <v>7701.7</v>
      </c>
      <c r="C27" s="124">
        <v>37.599999999999497</v>
      </c>
      <c r="D27" s="125">
        <v>4.9059902663064802E-3</v>
      </c>
      <c r="E27" s="123">
        <v>7664.1</v>
      </c>
      <c r="F27" s="123">
        <v>7556.5</v>
      </c>
      <c r="G27" s="123">
        <v>7900.2</v>
      </c>
      <c r="H27" s="126">
        <v>13664520332</v>
      </c>
      <c r="I27" s="123">
        <v>127469347000</v>
      </c>
      <c r="J27" s="123">
        <v>2172313985575</v>
      </c>
    </row>
    <row r="28" spans="1:10" ht="15" customHeight="1" x14ac:dyDescent="0.2">
      <c r="A28" s="122">
        <v>45412</v>
      </c>
      <c r="B28" s="123">
        <v>7664.1</v>
      </c>
      <c r="C28" s="124">
        <v>-232.79999999999899</v>
      </c>
      <c r="D28" s="125">
        <v>-2.9479922501234601E-2</v>
      </c>
      <c r="E28" s="123">
        <v>7896.9</v>
      </c>
      <c r="F28" s="123">
        <v>7492.6</v>
      </c>
      <c r="G28" s="123">
        <v>7910.5</v>
      </c>
      <c r="H28" s="126">
        <v>11625637251</v>
      </c>
      <c r="I28" s="123">
        <v>104656662800</v>
      </c>
      <c r="J28" s="123">
        <v>2044844638575</v>
      </c>
    </row>
    <row r="29" spans="1:10" ht="15" customHeight="1" x14ac:dyDescent="0.2">
      <c r="A29" s="122">
        <v>45382</v>
      </c>
      <c r="B29" s="123">
        <v>7896.9</v>
      </c>
      <c r="C29" s="124">
        <v>198.2</v>
      </c>
      <c r="D29" s="125">
        <v>2.5744606232220999E-2</v>
      </c>
      <c r="E29" s="123">
        <v>7698.7</v>
      </c>
      <c r="F29" s="123">
        <v>7591.4</v>
      </c>
      <c r="G29" s="123">
        <v>7901.2</v>
      </c>
      <c r="H29" s="126">
        <v>14578348229</v>
      </c>
      <c r="I29" s="123">
        <v>117190689600</v>
      </c>
      <c r="J29" s="123">
        <v>2149501301375</v>
      </c>
    </row>
    <row r="30" spans="1:10" ht="15" customHeight="1" x14ac:dyDescent="0.2">
      <c r="A30" s="122">
        <v>45351</v>
      </c>
      <c r="B30" s="123">
        <v>7698.7</v>
      </c>
      <c r="C30" s="124">
        <v>18</v>
      </c>
      <c r="D30" s="125">
        <v>2.3435363964222E-3</v>
      </c>
      <c r="E30" s="123">
        <v>7680.7</v>
      </c>
      <c r="F30" s="123">
        <v>7489.4</v>
      </c>
      <c r="G30" s="123">
        <v>7703.8</v>
      </c>
      <c r="H30" s="126">
        <v>19214354617</v>
      </c>
      <c r="I30" s="123">
        <v>124034733000</v>
      </c>
      <c r="J30" s="123">
        <v>2032310611775</v>
      </c>
    </row>
    <row r="31" spans="1:10" ht="15" customHeight="1" x14ac:dyDescent="0.2">
      <c r="A31" s="122">
        <v>45322</v>
      </c>
      <c r="B31" s="123">
        <v>7680.7</v>
      </c>
      <c r="C31" s="124">
        <v>89.899999999999594</v>
      </c>
      <c r="D31" s="125">
        <v>1.1843283975338501E-2</v>
      </c>
      <c r="E31" s="123">
        <v>7590.8</v>
      </c>
      <c r="F31" s="123">
        <v>7322</v>
      </c>
      <c r="G31" s="123">
        <v>7682.3</v>
      </c>
      <c r="H31" s="126">
        <v>12312270573</v>
      </c>
      <c r="I31" s="123">
        <v>92570425500</v>
      </c>
      <c r="J31" s="123">
        <v>1908275878775</v>
      </c>
    </row>
    <row r="32" spans="1:10" ht="15" customHeight="1" x14ac:dyDescent="0.2">
      <c r="A32" s="122">
        <v>45291</v>
      </c>
      <c r="B32" s="123">
        <v>7590.8</v>
      </c>
      <c r="C32" s="124">
        <v>503.5</v>
      </c>
      <c r="D32" s="125">
        <v>7.1042569102479095E-2</v>
      </c>
      <c r="E32" s="123">
        <v>7087.3</v>
      </c>
      <c r="F32" s="123">
        <v>7041.1</v>
      </c>
      <c r="G32" s="123">
        <v>7614.3</v>
      </c>
      <c r="H32" s="126">
        <v>14361203364</v>
      </c>
      <c r="I32" s="123">
        <v>104410868000</v>
      </c>
      <c r="J32" s="123">
        <v>1815705453275</v>
      </c>
    </row>
    <row r="33" spans="1:10" ht="15" customHeight="1" x14ac:dyDescent="0.2">
      <c r="A33" s="122">
        <v>45260</v>
      </c>
      <c r="B33" s="123">
        <v>7087.3</v>
      </c>
      <c r="C33" s="124">
        <v>306.60000000000002</v>
      </c>
      <c r="D33" s="125">
        <v>4.5216570560561699E-2</v>
      </c>
      <c r="E33" s="123">
        <v>6780.7</v>
      </c>
      <c r="F33" s="123">
        <v>6780.7</v>
      </c>
      <c r="G33" s="123">
        <v>7125.6</v>
      </c>
      <c r="H33" s="126">
        <v>14732332212</v>
      </c>
      <c r="I33" s="123">
        <v>115071579100</v>
      </c>
      <c r="J33" s="123">
        <v>1711294585275</v>
      </c>
    </row>
    <row r="34" spans="1:10" ht="15" customHeight="1" x14ac:dyDescent="0.2">
      <c r="A34" s="122">
        <v>45230</v>
      </c>
      <c r="B34" s="123">
        <v>6780.7</v>
      </c>
      <c r="C34" s="124">
        <v>-267.900000000001</v>
      </c>
      <c r="D34" s="125">
        <v>-3.80075475981047E-2</v>
      </c>
      <c r="E34" s="123">
        <v>7048.6</v>
      </c>
      <c r="F34" s="123">
        <v>6751.3</v>
      </c>
      <c r="G34" s="123">
        <v>7112.7</v>
      </c>
      <c r="H34" s="126">
        <v>15749530603</v>
      </c>
      <c r="I34" s="123">
        <v>113207993900</v>
      </c>
      <c r="J34" s="123">
        <v>1596223006175</v>
      </c>
    </row>
    <row r="35" spans="1:10" ht="15" customHeight="1" x14ac:dyDescent="0.2">
      <c r="A35" s="122">
        <v>45199</v>
      </c>
      <c r="B35" s="123">
        <v>7048.6</v>
      </c>
      <c r="C35" s="124">
        <v>-256.7</v>
      </c>
      <c r="D35" s="125">
        <v>-3.5138871778024099E-2</v>
      </c>
      <c r="E35" s="123">
        <v>7305.3</v>
      </c>
      <c r="F35" s="123">
        <v>6957.2</v>
      </c>
      <c r="G35" s="123">
        <v>7340.9</v>
      </c>
      <c r="H35" s="126">
        <v>15679001231</v>
      </c>
      <c r="I35" s="123">
        <v>111480509500</v>
      </c>
      <c r="J35" s="123">
        <v>1709431000075</v>
      </c>
    </row>
    <row r="36" spans="1:10" ht="15" customHeight="1" x14ac:dyDescent="0.2">
      <c r="A36" s="122">
        <v>45169</v>
      </c>
      <c r="B36" s="123">
        <v>7305.3</v>
      </c>
      <c r="C36" s="124">
        <v>-105.099999999999</v>
      </c>
      <c r="D36" s="125">
        <v>-1.41827701608549E-2</v>
      </c>
      <c r="E36" s="123">
        <v>7410.4</v>
      </c>
      <c r="F36" s="123">
        <v>7090</v>
      </c>
      <c r="G36" s="123">
        <v>7470.1</v>
      </c>
      <c r="H36" s="126">
        <v>16230734344</v>
      </c>
      <c r="I36" s="123">
        <v>126440944200</v>
      </c>
      <c r="J36" s="123">
        <v>1820911509575</v>
      </c>
    </row>
    <row r="37" spans="1:10" ht="15" customHeight="1" x14ac:dyDescent="0.2">
      <c r="A37" s="122">
        <v>45138</v>
      </c>
      <c r="B37" s="123">
        <v>7410.4</v>
      </c>
      <c r="C37" s="124">
        <v>207.099999999999</v>
      </c>
      <c r="D37" s="125">
        <v>2.8750711479460699E-2</v>
      </c>
      <c r="E37" s="123">
        <v>7203.3</v>
      </c>
      <c r="F37" s="123">
        <v>6998.1</v>
      </c>
      <c r="G37" s="123">
        <v>7472.3</v>
      </c>
      <c r="H37" s="126">
        <v>12497039382</v>
      </c>
      <c r="I37" s="123">
        <v>104387773100</v>
      </c>
      <c r="J37" s="123">
        <v>1947352453775</v>
      </c>
    </row>
    <row r="38" spans="1:10" ht="15" customHeight="1" x14ac:dyDescent="0.2">
      <c r="A38" s="122">
        <v>45107</v>
      </c>
      <c r="B38" s="123">
        <v>7203.3</v>
      </c>
      <c r="C38" s="124">
        <v>112</v>
      </c>
      <c r="D38" s="125">
        <v>1.5794001099939399E-2</v>
      </c>
      <c r="E38" s="123">
        <v>7091.3</v>
      </c>
      <c r="F38" s="123">
        <v>7054.8</v>
      </c>
      <c r="G38" s="123">
        <v>7368.4</v>
      </c>
      <c r="H38" s="126">
        <v>14950709841</v>
      </c>
      <c r="I38" s="123">
        <v>123282301400</v>
      </c>
      <c r="J38" s="123">
        <v>1842964680675</v>
      </c>
    </row>
    <row r="39" spans="1:10" ht="15" customHeight="1" x14ac:dyDescent="0.2">
      <c r="A39" s="122">
        <v>45077</v>
      </c>
      <c r="B39" s="123">
        <v>7091.3</v>
      </c>
      <c r="C39" s="124">
        <v>-217.9</v>
      </c>
      <c r="D39" s="125">
        <v>-2.98117441033218E-2</v>
      </c>
      <c r="E39" s="123">
        <v>7309.2</v>
      </c>
      <c r="F39" s="123">
        <v>7091.3</v>
      </c>
      <c r="G39" s="123">
        <v>7368</v>
      </c>
      <c r="H39" s="126">
        <v>15277477201</v>
      </c>
      <c r="I39" s="123">
        <v>124191008100</v>
      </c>
      <c r="J39" s="123">
        <v>1719682379275</v>
      </c>
    </row>
    <row r="40" spans="1:10" ht="15" customHeight="1" x14ac:dyDescent="0.2">
      <c r="A40" s="122">
        <v>45046</v>
      </c>
      <c r="B40" s="123">
        <v>7309.2</v>
      </c>
      <c r="C40" s="124">
        <v>131.4</v>
      </c>
      <c r="D40" s="125">
        <v>1.8306444871687699E-2</v>
      </c>
      <c r="E40" s="123">
        <v>7177.8</v>
      </c>
      <c r="F40" s="123">
        <v>7177.8</v>
      </c>
      <c r="G40" s="123">
        <v>7391.2</v>
      </c>
      <c r="H40" s="126">
        <v>11431785634</v>
      </c>
      <c r="I40" s="123">
        <v>90632856600</v>
      </c>
      <c r="J40" s="123">
        <v>1843873387375</v>
      </c>
    </row>
    <row r="41" spans="1:10" ht="15" customHeight="1" x14ac:dyDescent="0.2">
      <c r="A41" s="122">
        <v>45016</v>
      </c>
      <c r="B41" s="123">
        <v>7177.8</v>
      </c>
      <c r="C41" s="124">
        <v>-80.599999999999497</v>
      </c>
      <c r="D41" s="125">
        <v>-1.11043756199713E-2</v>
      </c>
      <c r="E41" s="123">
        <v>7258.4</v>
      </c>
      <c r="F41" s="123">
        <v>6895</v>
      </c>
      <c r="G41" s="123">
        <v>7370.3</v>
      </c>
      <c r="H41" s="126">
        <v>18097921968</v>
      </c>
      <c r="I41" s="123">
        <v>145114002000</v>
      </c>
      <c r="J41" s="123">
        <v>1753240530775</v>
      </c>
    </row>
    <row r="42" spans="1:10" ht="15" customHeight="1" x14ac:dyDescent="0.2">
      <c r="A42" s="122">
        <v>44985</v>
      </c>
      <c r="B42" s="123">
        <v>7258.4</v>
      </c>
      <c r="C42" s="124">
        <v>-218.3</v>
      </c>
      <c r="D42" s="125">
        <v>-2.9197373172656398E-2</v>
      </c>
      <c r="E42" s="123">
        <v>7476.7</v>
      </c>
      <c r="F42" s="123">
        <v>7193.4</v>
      </c>
      <c r="G42" s="123">
        <v>7567.7</v>
      </c>
      <c r="H42" s="126">
        <v>14248787195</v>
      </c>
      <c r="I42" s="123">
        <v>115707946900</v>
      </c>
      <c r="J42" s="123">
        <v>1898354532775</v>
      </c>
    </row>
    <row r="43" spans="1:10" ht="15" customHeight="1" x14ac:dyDescent="0.2">
      <c r="A43" s="122">
        <v>44957</v>
      </c>
      <c r="B43" s="123">
        <v>7476.7</v>
      </c>
      <c r="C43" s="124">
        <v>438</v>
      </c>
      <c r="D43" s="125">
        <v>6.2227399946012799E-2</v>
      </c>
      <c r="E43" s="123">
        <v>7038.7</v>
      </c>
      <c r="F43" s="123">
        <v>6905.3</v>
      </c>
      <c r="G43" s="123">
        <v>7516.8</v>
      </c>
      <c r="H43" s="126">
        <v>11924403184</v>
      </c>
      <c r="I43" s="123">
        <v>96764538800</v>
      </c>
      <c r="J43" s="123">
        <v>2014062479675</v>
      </c>
    </row>
    <row r="44" spans="1:10" ht="15" customHeight="1" x14ac:dyDescent="0.2">
      <c r="A44" s="122">
        <v>44926</v>
      </c>
      <c r="B44" s="123">
        <v>7038.7</v>
      </c>
      <c r="C44" s="124">
        <v>-245.5</v>
      </c>
      <c r="D44" s="125">
        <v>-3.37030833859586E-2</v>
      </c>
      <c r="E44" s="123">
        <v>7284.2</v>
      </c>
      <c r="F44" s="123">
        <v>6993.8</v>
      </c>
      <c r="G44" s="123">
        <v>7375.2</v>
      </c>
      <c r="H44" s="126">
        <v>13713865445</v>
      </c>
      <c r="I44" s="123">
        <v>105423086900</v>
      </c>
      <c r="J44" s="123">
        <v>1917297940875</v>
      </c>
    </row>
    <row r="45" spans="1:10" ht="15" customHeight="1" x14ac:dyDescent="0.2">
      <c r="A45" s="122">
        <v>44895</v>
      </c>
      <c r="B45" s="123">
        <v>7284.2</v>
      </c>
      <c r="C45" s="124">
        <v>420.7</v>
      </c>
      <c r="D45" s="125">
        <v>6.12952575216726E-2</v>
      </c>
      <c r="E45" s="123">
        <v>6863.5</v>
      </c>
      <c r="F45" s="123">
        <v>6823</v>
      </c>
      <c r="G45" s="123">
        <v>7293.7</v>
      </c>
      <c r="H45" s="126">
        <v>17358992174</v>
      </c>
      <c r="I45" s="123">
        <v>135931704200</v>
      </c>
      <c r="J45" s="123">
        <v>2022721027775</v>
      </c>
    </row>
    <row r="46" spans="1:10" ht="15" customHeight="1" x14ac:dyDescent="0.2">
      <c r="A46" s="122">
        <v>44865</v>
      </c>
      <c r="B46" s="123">
        <v>6863.5</v>
      </c>
      <c r="C46" s="124">
        <v>389.3</v>
      </c>
      <c r="D46" s="125">
        <v>6.01309814339996E-2</v>
      </c>
      <c r="E46" s="123">
        <v>6474.2</v>
      </c>
      <c r="F46" s="123">
        <v>6411.9</v>
      </c>
      <c r="G46" s="123">
        <v>6873.8</v>
      </c>
      <c r="H46" s="126">
        <v>16445437617</v>
      </c>
      <c r="I46" s="123">
        <v>116614178900</v>
      </c>
      <c r="J46" s="123">
        <v>1886789323575</v>
      </c>
    </row>
    <row r="47" spans="1:10" ht="15" customHeight="1" x14ac:dyDescent="0.2">
      <c r="A47" s="122">
        <v>44834</v>
      </c>
      <c r="B47" s="123">
        <v>6474.2</v>
      </c>
      <c r="C47" s="124">
        <v>-512.6</v>
      </c>
      <c r="D47" s="125">
        <v>-7.3366920478616898E-2</v>
      </c>
      <c r="E47" s="123">
        <v>6986.8</v>
      </c>
      <c r="F47" s="123">
        <v>6433.1</v>
      </c>
      <c r="G47" s="123">
        <v>7015.2</v>
      </c>
      <c r="H47" s="126">
        <v>18132746725</v>
      </c>
      <c r="I47" s="123">
        <v>130867319300</v>
      </c>
      <c r="J47" s="123">
        <v>1770175144675</v>
      </c>
    </row>
    <row r="48" spans="1:10" ht="15" customHeight="1" x14ac:dyDescent="0.2">
      <c r="A48" s="122">
        <v>44804</v>
      </c>
      <c r="B48" s="123">
        <v>6986.8</v>
      </c>
      <c r="C48" s="124">
        <v>41.600000000000399</v>
      </c>
      <c r="D48" s="125">
        <v>5.9897483153833397E-3</v>
      </c>
      <c r="E48" s="123">
        <v>6945.2</v>
      </c>
      <c r="F48" s="123">
        <v>6918.2</v>
      </c>
      <c r="G48" s="123">
        <v>7137.5</v>
      </c>
      <c r="H48" s="126">
        <v>16233017462</v>
      </c>
      <c r="I48" s="123">
        <v>126534144700</v>
      </c>
      <c r="J48" s="123">
        <v>1901042463975</v>
      </c>
    </row>
    <row r="49" spans="1:10" ht="15" customHeight="1" x14ac:dyDescent="0.2">
      <c r="A49" s="122">
        <v>44773</v>
      </c>
      <c r="B49" s="123">
        <v>6945.2</v>
      </c>
      <c r="C49" s="124">
        <v>377.099999999999</v>
      </c>
      <c r="D49" s="125">
        <v>5.7413863978928399E-2</v>
      </c>
      <c r="E49" s="123">
        <v>6568.1</v>
      </c>
      <c r="F49" s="123">
        <v>6537.2</v>
      </c>
      <c r="G49" s="123">
        <v>6973.6</v>
      </c>
      <c r="H49" s="126">
        <v>14065144438</v>
      </c>
      <c r="I49" s="123">
        <v>108407868900</v>
      </c>
      <c r="J49" s="123">
        <v>1774508319275</v>
      </c>
    </row>
    <row r="50" spans="1:10" ht="15" customHeight="1" x14ac:dyDescent="0.2">
      <c r="A50" s="122">
        <v>44742</v>
      </c>
      <c r="B50" s="123">
        <v>6568.1</v>
      </c>
      <c r="C50" s="124">
        <v>-643.099999999999</v>
      </c>
      <c r="D50" s="125">
        <v>-8.9180718881739396E-2</v>
      </c>
      <c r="E50" s="123">
        <v>7211.2</v>
      </c>
      <c r="F50" s="123">
        <v>6407</v>
      </c>
      <c r="G50" s="123">
        <v>7254.6</v>
      </c>
      <c r="H50" s="126">
        <v>18287272244</v>
      </c>
      <c r="I50" s="123">
        <v>143941159000</v>
      </c>
      <c r="J50" s="123">
        <v>1666100450375</v>
      </c>
    </row>
    <row r="51" spans="1:10" ht="15" customHeight="1" x14ac:dyDescent="0.2">
      <c r="A51" s="122">
        <v>44712</v>
      </c>
      <c r="B51" s="123">
        <v>7211.2</v>
      </c>
      <c r="C51" s="124">
        <v>-223.8</v>
      </c>
      <c r="D51" s="125">
        <v>-3.0100874243443199E-2</v>
      </c>
      <c r="E51" s="123">
        <v>7435</v>
      </c>
      <c r="F51" s="123">
        <v>6930.2</v>
      </c>
      <c r="G51" s="123">
        <v>7435</v>
      </c>
      <c r="H51" s="126">
        <v>15916177407</v>
      </c>
      <c r="I51" s="123">
        <v>138711554300</v>
      </c>
      <c r="J51" s="123">
        <v>1810041609375</v>
      </c>
    </row>
    <row r="52" spans="1:10" ht="15" customHeight="1" x14ac:dyDescent="0.2">
      <c r="A52" s="122">
        <v>44681</v>
      </c>
      <c r="B52" s="123">
        <v>7435</v>
      </c>
      <c r="C52" s="124">
        <v>-64.600000000000406</v>
      </c>
      <c r="D52" s="125">
        <v>-8.6137927356126093E-3</v>
      </c>
      <c r="E52" s="123">
        <v>7499.6</v>
      </c>
      <c r="F52" s="123">
        <v>7233.3</v>
      </c>
      <c r="G52" s="123">
        <v>7624.8</v>
      </c>
      <c r="H52" s="126">
        <v>12021330443</v>
      </c>
      <c r="I52" s="123">
        <v>104431134000</v>
      </c>
      <c r="J52" s="123">
        <v>1948753163675</v>
      </c>
    </row>
    <row r="53" spans="1:10" ht="15" customHeight="1" x14ac:dyDescent="0.2">
      <c r="A53" s="122">
        <v>44651</v>
      </c>
      <c r="B53" s="123">
        <v>7499.6</v>
      </c>
      <c r="C53" s="124">
        <v>450.5</v>
      </c>
      <c r="D53" s="125">
        <v>6.3908867798726093E-2</v>
      </c>
      <c r="E53" s="123">
        <v>7049.1</v>
      </c>
      <c r="F53" s="123">
        <v>6968.9</v>
      </c>
      <c r="G53" s="123">
        <v>7556.6</v>
      </c>
      <c r="H53" s="126">
        <v>18823057136</v>
      </c>
      <c r="I53" s="123">
        <v>165329455700</v>
      </c>
      <c r="J53" s="123">
        <v>2053184297675</v>
      </c>
    </row>
    <row r="54" spans="1:10" ht="15" customHeight="1" x14ac:dyDescent="0.2">
      <c r="A54" s="122">
        <v>44620</v>
      </c>
      <c r="B54" s="123">
        <v>7049.1</v>
      </c>
      <c r="C54" s="124">
        <v>77.5</v>
      </c>
      <c r="D54" s="125">
        <v>1.1116529921395399E-2</v>
      </c>
      <c r="E54" s="123">
        <v>6971.6</v>
      </c>
      <c r="F54" s="123">
        <v>6945.7</v>
      </c>
      <c r="G54" s="123">
        <v>7356.8</v>
      </c>
      <c r="H54" s="126">
        <v>15931768686</v>
      </c>
      <c r="I54" s="123">
        <v>157354247000</v>
      </c>
      <c r="J54" s="123">
        <v>1887854841975</v>
      </c>
    </row>
    <row r="55" spans="1:10" ht="15" customHeight="1" x14ac:dyDescent="0.2">
      <c r="A55" s="122">
        <v>44592</v>
      </c>
      <c r="B55" s="123">
        <v>6971.6</v>
      </c>
      <c r="C55" s="124">
        <v>-473</v>
      </c>
      <c r="D55" s="125">
        <v>-6.3535985815221796E-2</v>
      </c>
      <c r="E55" s="123">
        <v>7444.6</v>
      </c>
      <c r="F55" s="123">
        <v>6758.2</v>
      </c>
      <c r="G55" s="123">
        <v>7620.2</v>
      </c>
      <c r="H55" s="126">
        <v>14029978645</v>
      </c>
      <c r="I55" s="123">
        <v>135389124300</v>
      </c>
      <c r="J55" s="123">
        <v>1730500594975</v>
      </c>
    </row>
    <row r="56" spans="1:10" ht="15" customHeight="1" x14ac:dyDescent="0.2">
      <c r="A56" s="122">
        <v>44561</v>
      </c>
      <c r="B56" s="123">
        <v>7444.6</v>
      </c>
      <c r="C56" s="124">
        <v>188.6</v>
      </c>
      <c r="D56" s="125">
        <v>2.5992282249173101E-2</v>
      </c>
      <c r="E56" s="123">
        <v>7256</v>
      </c>
      <c r="F56" s="123">
        <v>7168.9</v>
      </c>
      <c r="G56" s="123">
        <v>7520.6</v>
      </c>
      <c r="H56" s="126">
        <v>11904788876</v>
      </c>
      <c r="I56" s="123">
        <v>113069261300</v>
      </c>
      <c r="J56" s="123">
        <v>1865889719275</v>
      </c>
    </row>
    <row r="57" spans="1:10" ht="15" customHeight="1" x14ac:dyDescent="0.2">
      <c r="A57" s="122">
        <v>44530</v>
      </c>
      <c r="B57" s="123">
        <v>7256</v>
      </c>
      <c r="C57" s="124">
        <v>-67.699999999999804</v>
      </c>
      <c r="D57" s="125">
        <v>-9.2439613856383808E-3</v>
      </c>
      <c r="E57" s="123">
        <v>7323.7</v>
      </c>
      <c r="F57" s="123">
        <v>7180.3</v>
      </c>
      <c r="G57" s="123">
        <v>7479.1</v>
      </c>
      <c r="H57" s="126">
        <v>13542360195</v>
      </c>
      <c r="I57" s="123">
        <v>130437571200</v>
      </c>
      <c r="J57" s="123">
        <v>1752820457975</v>
      </c>
    </row>
    <row r="58" spans="1:10" ht="15" customHeight="1" x14ac:dyDescent="0.2">
      <c r="A58" s="122">
        <v>44500</v>
      </c>
      <c r="B58" s="123">
        <v>7323.7</v>
      </c>
      <c r="C58" s="124">
        <v>-8.5</v>
      </c>
      <c r="D58" s="125">
        <v>-1.15927006901067E-3</v>
      </c>
      <c r="E58" s="123">
        <v>7332.2</v>
      </c>
      <c r="F58" s="123">
        <v>7157.9</v>
      </c>
      <c r="G58" s="123">
        <v>7473.9</v>
      </c>
      <c r="H58" s="126">
        <v>13281268216</v>
      </c>
      <c r="I58" s="123">
        <v>123648374600</v>
      </c>
      <c r="J58" s="123">
        <v>1883258029175</v>
      </c>
    </row>
    <row r="59" spans="1:10" ht="15" customHeight="1" x14ac:dyDescent="0.2">
      <c r="A59" s="122">
        <v>44469</v>
      </c>
      <c r="B59" s="123">
        <v>7332.2</v>
      </c>
      <c r="C59" s="124">
        <v>-202.7</v>
      </c>
      <c r="D59" s="125">
        <v>-2.6901485089383999E-2</v>
      </c>
      <c r="E59" s="123">
        <v>7534.9</v>
      </c>
      <c r="F59" s="123">
        <v>7145.7</v>
      </c>
      <c r="G59" s="123">
        <v>7539</v>
      </c>
      <c r="H59" s="126">
        <v>16495125541</v>
      </c>
      <c r="I59" s="123">
        <v>145255894300</v>
      </c>
      <c r="J59" s="123">
        <v>2006906403775</v>
      </c>
    </row>
    <row r="60" spans="1:10" ht="15" customHeight="1" x14ac:dyDescent="0.2">
      <c r="A60" s="122">
        <v>44439</v>
      </c>
      <c r="B60" s="123">
        <v>7534.9</v>
      </c>
      <c r="C60" s="124">
        <v>142.29999999999899</v>
      </c>
      <c r="D60" s="125">
        <v>1.92489787084381E-2</v>
      </c>
      <c r="E60" s="123">
        <v>7415.9</v>
      </c>
      <c r="F60" s="123">
        <v>7414.9</v>
      </c>
      <c r="G60" s="123">
        <v>7632.8</v>
      </c>
      <c r="H60" s="126">
        <v>13998650444</v>
      </c>
      <c r="I60" s="123">
        <v>135311332800</v>
      </c>
      <c r="J60" s="123">
        <v>2152162298075</v>
      </c>
    </row>
    <row r="61" spans="1:10" ht="15" customHeight="1" x14ac:dyDescent="0.2">
      <c r="A61" s="122">
        <v>44408</v>
      </c>
      <c r="B61" s="123">
        <v>7392.6</v>
      </c>
      <c r="C61" s="124">
        <v>79.600000000000406</v>
      </c>
      <c r="D61" s="125">
        <v>1.08847258307125E-2</v>
      </c>
      <c r="E61" s="123">
        <v>7313</v>
      </c>
      <c r="F61" s="123">
        <v>7205</v>
      </c>
      <c r="G61" s="123">
        <v>7447.9</v>
      </c>
      <c r="H61" s="126">
        <v>12602947505</v>
      </c>
      <c r="I61" s="123">
        <v>112225562395</v>
      </c>
      <c r="J61" s="123">
        <v>2016850965275</v>
      </c>
    </row>
    <row r="62" spans="1:10" ht="15" customHeight="1" x14ac:dyDescent="0.2">
      <c r="A62" s="122">
        <v>44377</v>
      </c>
      <c r="B62" s="123">
        <v>7313</v>
      </c>
      <c r="C62" s="124">
        <v>151.4</v>
      </c>
      <c r="D62" s="125">
        <v>2.11405272564789E-2</v>
      </c>
      <c r="E62" s="123">
        <v>7161.6</v>
      </c>
      <c r="F62" s="123">
        <v>7117.5</v>
      </c>
      <c r="G62" s="123">
        <v>7406.2</v>
      </c>
      <c r="H62" s="126">
        <v>13067683590</v>
      </c>
      <c r="I62" s="123">
        <v>116287047600</v>
      </c>
      <c r="J62" s="123">
        <v>1904625402880</v>
      </c>
    </row>
    <row r="63" spans="1:10" ht="15" customHeight="1" x14ac:dyDescent="0.2">
      <c r="A63" s="122">
        <v>44347</v>
      </c>
      <c r="B63" s="123">
        <v>7161.6</v>
      </c>
      <c r="C63" s="124">
        <v>135.80000000000001</v>
      </c>
      <c r="D63" s="125">
        <v>1.93287597141963E-2</v>
      </c>
      <c r="E63" s="123">
        <v>7025.8</v>
      </c>
      <c r="F63" s="123">
        <v>6917.3</v>
      </c>
      <c r="G63" s="123">
        <v>7203.3</v>
      </c>
      <c r="H63" s="126">
        <v>12444391338</v>
      </c>
      <c r="I63" s="123">
        <v>111883045400</v>
      </c>
      <c r="J63" s="123">
        <v>1788338355280</v>
      </c>
    </row>
    <row r="64" spans="1:10" ht="15" customHeight="1" x14ac:dyDescent="0.2">
      <c r="A64" s="122">
        <v>44316</v>
      </c>
      <c r="B64" s="123">
        <v>7025.8</v>
      </c>
      <c r="C64" s="124">
        <v>235.1</v>
      </c>
      <c r="D64" s="125">
        <v>3.4620878554493702E-2</v>
      </c>
      <c r="E64" s="123">
        <v>6790.7</v>
      </c>
      <c r="F64" s="123">
        <v>6783.3</v>
      </c>
      <c r="G64" s="123">
        <v>7096.9</v>
      </c>
      <c r="H64" s="126">
        <v>11138507112</v>
      </c>
      <c r="I64" s="123">
        <v>96004444200</v>
      </c>
      <c r="J64" s="123">
        <v>1676455309880</v>
      </c>
    </row>
    <row r="65" spans="1:10" ht="15" customHeight="1" x14ac:dyDescent="0.2">
      <c r="A65" s="122">
        <v>44286</v>
      </c>
      <c r="B65" s="123">
        <v>6790.7</v>
      </c>
      <c r="C65" s="124">
        <v>117.4</v>
      </c>
      <c r="D65" s="125">
        <v>1.7592495467010302E-2</v>
      </c>
      <c r="E65" s="123">
        <v>6673.3</v>
      </c>
      <c r="F65" s="123">
        <v>6648.6</v>
      </c>
      <c r="G65" s="123">
        <v>6862.6</v>
      </c>
      <c r="H65" s="126">
        <v>14596361149</v>
      </c>
      <c r="I65" s="123">
        <v>132483565900</v>
      </c>
      <c r="J65" s="123">
        <v>1580450865680</v>
      </c>
    </row>
    <row r="66" spans="1:10" ht="15" customHeight="1" x14ac:dyDescent="0.2">
      <c r="A66" s="122">
        <v>44255</v>
      </c>
      <c r="B66" s="123">
        <v>6673.3</v>
      </c>
      <c r="C66" s="124">
        <v>65.900000000000503</v>
      </c>
      <c r="D66" s="125">
        <v>9.97366588976005E-3</v>
      </c>
      <c r="E66" s="123">
        <v>6607.4</v>
      </c>
      <c r="F66" s="123">
        <v>6517.2</v>
      </c>
      <c r="G66" s="123">
        <v>6938</v>
      </c>
      <c r="H66" s="126">
        <v>12928084887</v>
      </c>
      <c r="I66" s="123">
        <v>118024853900</v>
      </c>
      <c r="J66" s="123">
        <v>1447967299780</v>
      </c>
    </row>
    <row r="67" spans="1:10" ht="15" customHeight="1" x14ac:dyDescent="0.2">
      <c r="A67" s="122">
        <v>44227</v>
      </c>
      <c r="B67" s="123">
        <v>6607.4</v>
      </c>
      <c r="C67" s="124">
        <v>20.299999999999301</v>
      </c>
      <c r="D67" s="125">
        <v>3.08178105691416E-3</v>
      </c>
      <c r="E67" s="123">
        <v>6587.1</v>
      </c>
      <c r="F67" s="123">
        <v>6585.3</v>
      </c>
      <c r="G67" s="123">
        <v>6832.6</v>
      </c>
      <c r="H67" s="126">
        <v>10490267330</v>
      </c>
      <c r="I67" s="123">
        <v>95737382600</v>
      </c>
      <c r="J67" s="123">
        <v>1329942445880</v>
      </c>
    </row>
    <row r="68" spans="1:10" ht="15" customHeight="1" x14ac:dyDescent="0.2">
      <c r="A68" s="122">
        <v>44196</v>
      </c>
      <c r="B68" s="123">
        <v>6587.1</v>
      </c>
      <c r="C68" s="124">
        <v>69.300000000000196</v>
      </c>
      <c r="D68" s="125">
        <v>1.0632421982877701E-2</v>
      </c>
      <c r="E68" s="123">
        <v>6517.8</v>
      </c>
      <c r="F68" s="123">
        <v>6511.4</v>
      </c>
      <c r="G68" s="123">
        <v>6765.7</v>
      </c>
      <c r="H68" s="126">
        <v>12847219853</v>
      </c>
      <c r="I68" s="123">
        <v>114549101870</v>
      </c>
      <c r="J68" s="123">
        <v>1234205063280</v>
      </c>
    </row>
    <row r="69" spans="1:10" ht="15" customHeight="1" x14ac:dyDescent="0.2">
      <c r="A69" s="122">
        <v>44165</v>
      </c>
      <c r="B69" s="123">
        <v>6517.8</v>
      </c>
      <c r="C69" s="124">
        <v>590.20000000000005</v>
      </c>
      <c r="D69" s="125">
        <v>9.9568122005533402E-2</v>
      </c>
      <c r="E69" s="123">
        <v>5927.6</v>
      </c>
      <c r="F69" s="123">
        <v>5904.1</v>
      </c>
      <c r="G69" s="123">
        <v>6713.3</v>
      </c>
      <c r="H69" s="126">
        <v>15409227074</v>
      </c>
      <c r="I69" s="123">
        <v>134280318500</v>
      </c>
      <c r="J69" s="123">
        <v>1119655961410</v>
      </c>
    </row>
    <row r="70" spans="1:10" ht="15" customHeight="1" x14ac:dyDescent="0.2">
      <c r="A70" s="122">
        <v>44135</v>
      </c>
      <c r="B70" s="123">
        <v>5927.6</v>
      </c>
      <c r="C70" s="124">
        <v>111.700000000001</v>
      </c>
      <c r="D70" s="125">
        <v>1.9205969841297299E-2</v>
      </c>
      <c r="E70" s="123">
        <v>5815.9</v>
      </c>
      <c r="F70" s="123">
        <v>5779.6</v>
      </c>
      <c r="G70" s="123">
        <v>6248.3</v>
      </c>
      <c r="H70" s="126">
        <v>13868285667</v>
      </c>
      <c r="I70" s="123">
        <v>108322748800</v>
      </c>
      <c r="J70" s="123">
        <v>985375642910</v>
      </c>
    </row>
    <row r="71" spans="1:10" ht="15" customHeight="1" x14ac:dyDescent="0.2">
      <c r="A71" s="122">
        <v>44104</v>
      </c>
      <c r="B71" s="123">
        <v>5815.9</v>
      </c>
      <c r="C71" s="124">
        <v>-244.6</v>
      </c>
      <c r="D71" s="125">
        <v>-4.0359706294860201E-2</v>
      </c>
      <c r="E71" s="123">
        <v>6060.5</v>
      </c>
      <c r="F71" s="123">
        <v>5763.2</v>
      </c>
      <c r="G71" s="123">
        <v>6130.8</v>
      </c>
      <c r="H71" s="126">
        <v>17107475776</v>
      </c>
      <c r="I71" s="123">
        <v>129703152800</v>
      </c>
      <c r="J71" s="123">
        <v>877052894110</v>
      </c>
    </row>
    <row r="72" spans="1:10" ht="15" customHeight="1" x14ac:dyDescent="0.2">
      <c r="A72" s="122">
        <v>44074</v>
      </c>
      <c r="B72" s="123">
        <v>6060.5</v>
      </c>
      <c r="C72" s="124">
        <v>132.69999999999999</v>
      </c>
      <c r="D72" s="125">
        <v>2.23860454131381E-2</v>
      </c>
      <c r="E72" s="123">
        <v>5927.8</v>
      </c>
      <c r="F72" s="123">
        <v>5860.7</v>
      </c>
      <c r="G72" s="123">
        <v>6199.2</v>
      </c>
      <c r="H72" s="126">
        <v>16304407362</v>
      </c>
      <c r="I72" s="123">
        <v>125123900200</v>
      </c>
      <c r="J72" s="123">
        <v>1006756046910</v>
      </c>
    </row>
    <row r="73" spans="1:10" ht="15" customHeight="1" x14ac:dyDescent="0.2">
      <c r="A73" s="122">
        <v>44043</v>
      </c>
      <c r="B73" s="123">
        <v>5927.8</v>
      </c>
      <c r="C73" s="124">
        <v>29.9000000000005</v>
      </c>
      <c r="D73" s="125">
        <v>5.0696010444396403E-3</v>
      </c>
      <c r="E73" s="123">
        <v>5897.9</v>
      </c>
      <c r="F73" s="123">
        <v>5892.8</v>
      </c>
      <c r="G73" s="123">
        <v>6160.6</v>
      </c>
      <c r="H73" s="126">
        <v>15303893776</v>
      </c>
      <c r="I73" s="123">
        <v>115930607300</v>
      </c>
      <c r="J73" s="123">
        <v>881632146710</v>
      </c>
    </row>
    <row r="74" spans="1:10" ht="15" customHeight="1" x14ac:dyDescent="0.2">
      <c r="A74" s="122">
        <v>44012</v>
      </c>
      <c r="B74" s="123">
        <v>5897.9</v>
      </c>
      <c r="C74" s="124">
        <v>142.19999999999999</v>
      </c>
      <c r="D74" s="125">
        <v>2.47059436732282E-2</v>
      </c>
      <c r="E74" s="123">
        <v>5755.7</v>
      </c>
      <c r="F74" s="123">
        <v>5705.4</v>
      </c>
      <c r="G74" s="123">
        <v>6198.6</v>
      </c>
      <c r="H74" s="126">
        <v>22208061457</v>
      </c>
      <c r="I74" s="123">
        <v>155335102500</v>
      </c>
      <c r="J74" s="123">
        <v>765701539410</v>
      </c>
    </row>
    <row r="75" spans="1:10" ht="15" customHeight="1" x14ac:dyDescent="0.2">
      <c r="A75" s="122">
        <v>43982</v>
      </c>
      <c r="B75" s="123">
        <v>5755.7</v>
      </c>
      <c r="C75" s="124">
        <v>233.3</v>
      </c>
      <c r="D75" s="125">
        <v>4.2246124873243598E-2</v>
      </c>
      <c r="E75" s="123">
        <v>5522.4</v>
      </c>
      <c r="F75" s="123">
        <v>5169.6000000000004</v>
      </c>
      <c r="G75" s="123">
        <v>5922</v>
      </c>
      <c r="H75" s="126">
        <v>19854138403</v>
      </c>
      <c r="I75" s="123">
        <v>136061723700</v>
      </c>
      <c r="J75" s="123">
        <v>610366436910</v>
      </c>
    </row>
    <row r="76" spans="1:10" ht="15" customHeight="1" x14ac:dyDescent="0.2">
      <c r="A76" s="122">
        <v>43951</v>
      </c>
      <c r="B76" s="123">
        <v>5522.4</v>
      </c>
      <c r="C76" s="124">
        <v>445.599999999999</v>
      </c>
      <c r="D76" s="125">
        <v>8.7771824771509493E-2</v>
      </c>
      <c r="E76" s="123">
        <v>5076.8</v>
      </c>
      <c r="F76" s="123">
        <v>5022.3999999999996</v>
      </c>
      <c r="G76" s="123">
        <v>5563.6</v>
      </c>
      <c r="H76" s="126">
        <v>19759191134</v>
      </c>
      <c r="I76" s="123">
        <v>134215070510</v>
      </c>
      <c r="J76" s="123">
        <v>474304713210</v>
      </c>
    </row>
    <row r="77" spans="1:10" ht="15" customHeight="1" x14ac:dyDescent="0.2">
      <c r="A77" s="122">
        <v>43921</v>
      </c>
      <c r="B77" s="123">
        <v>5076.8</v>
      </c>
      <c r="C77" s="124">
        <v>-1364.4</v>
      </c>
      <c r="D77" s="125">
        <v>-0.21182388374837</v>
      </c>
      <c r="E77" s="123">
        <v>6438.9</v>
      </c>
      <c r="F77" s="123">
        <v>4402.5</v>
      </c>
      <c r="G77" s="123">
        <v>6524.3</v>
      </c>
      <c r="H77" s="126">
        <v>32859120990</v>
      </c>
      <c r="I77" s="123">
        <v>236088653700</v>
      </c>
      <c r="J77" s="123">
        <v>340089642700</v>
      </c>
    </row>
    <row r="78" spans="1:10" ht="15" customHeight="1" x14ac:dyDescent="0.2">
      <c r="A78" s="122">
        <v>43890</v>
      </c>
      <c r="B78" s="123">
        <v>6441.2</v>
      </c>
      <c r="C78" s="124">
        <v>-576</v>
      </c>
      <c r="D78" s="125">
        <v>-8.2084022117083696E-2</v>
      </c>
      <c r="E78" s="123">
        <v>7017.2</v>
      </c>
      <c r="F78" s="123">
        <v>6426.8</v>
      </c>
      <c r="G78" s="123">
        <v>7197.2</v>
      </c>
      <c r="H78" s="126">
        <v>15834971649</v>
      </c>
      <c r="I78" s="123">
        <v>135308268000</v>
      </c>
      <c r="J78" s="123">
        <v>576178296400</v>
      </c>
    </row>
    <row r="79" spans="1:10" ht="15" customHeight="1" x14ac:dyDescent="0.2">
      <c r="A79" s="122">
        <v>43861</v>
      </c>
      <c r="B79" s="123">
        <v>7017.2</v>
      </c>
      <c r="C79" s="124">
        <v>333.099999999999</v>
      </c>
      <c r="D79" s="125">
        <v>4.9834682305770303E-2</v>
      </c>
      <c r="E79" s="123">
        <v>6684.1</v>
      </c>
      <c r="F79" s="123">
        <v>6669.2</v>
      </c>
      <c r="G79" s="123">
        <v>7144.9</v>
      </c>
      <c r="H79" s="126">
        <v>10881213885</v>
      </c>
      <c r="I79" s="123">
        <v>96670369200</v>
      </c>
      <c r="J79" s="123">
        <v>711486564400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79"/>
  <sheetViews>
    <sheetView zoomScaleNormal="100" workbookViewId="0">
      <selection activeCell="K36" sqref="K36"/>
    </sheetView>
  </sheetViews>
  <sheetFormatPr baseColWidth="10" defaultColWidth="10.6640625" defaultRowHeight="15" x14ac:dyDescent="0.2"/>
  <cols>
    <col min="5" max="5" width="14.1640625" customWidth="1"/>
    <col min="7" max="7" width="17" customWidth="1"/>
  </cols>
  <sheetData>
    <row r="1" spans="1:15" ht="15" customHeight="1" x14ac:dyDescent="0.2">
      <c r="A1" s="127" t="s">
        <v>730</v>
      </c>
      <c r="B1" s="127" t="s">
        <v>731</v>
      </c>
      <c r="C1" s="127" t="s">
        <v>732</v>
      </c>
      <c r="D1" s="127" t="s">
        <v>733</v>
      </c>
      <c r="E1" s="127" t="s">
        <v>734</v>
      </c>
      <c r="G1" t="s">
        <v>569</v>
      </c>
    </row>
    <row r="2" spans="1:15" ht="15.75" customHeight="1" x14ac:dyDescent="0.2">
      <c r="A2" s="122">
        <v>46203</v>
      </c>
      <c r="B2" s="118">
        <v>79.150000000000006</v>
      </c>
      <c r="C2" s="128">
        <v>8724.4</v>
      </c>
      <c r="D2" s="80"/>
      <c r="E2" s="80"/>
    </row>
    <row r="3" spans="1:15" ht="15" customHeight="1" x14ac:dyDescent="0.2">
      <c r="A3" s="122">
        <v>46173</v>
      </c>
      <c r="B3" s="118">
        <v>79.790000000000006</v>
      </c>
      <c r="C3" s="128">
        <v>8731.7000000000007</v>
      </c>
      <c r="D3" s="80">
        <f t="shared" ref="D3:D34" si="0">(B3-B2)/B2</f>
        <v>8.085912823752376E-3</v>
      </c>
      <c r="E3" s="80">
        <f t="shared" ref="E3:E34" si="1">(C3-C2)/C2</f>
        <v>8.3673375819553108E-4</v>
      </c>
      <c r="G3" s="142" t="s">
        <v>570</v>
      </c>
      <c r="H3" s="142"/>
    </row>
    <row r="4" spans="1:15" ht="15" customHeight="1" x14ac:dyDescent="0.2">
      <c r="A4" s="122">
        <v>46142</v>
      </c>
      <c r="B4" s="118">
        <v>72.92</v>
      </c>
      <c r="C4" s="128">
        <v>8665.7999999999993</v>
      </c>
      <c r="D4" s="80">
        <f t="shared" si="0"/>
        <v>-8.610101516480767E-2</v>
      </c>
      <c r="E4" s="80">
        <f t="shared" si="1"/>
        <v>-7.5472130283909715E-3</v>
      </c>
      <c r="G4" t="s">
        <v>571</v>
      </c>
      <c r="H4">
        <v>0.75004709828156702</v>
      </c>
    </row>
    <row r="5" spans="1:15" ht="15" customHeight="1" x14ac:dyDescent="0.2">
      <c r="A5" s="122">
        <v>46112</v>
      </c>
      <c r="B5" s="118">
        <v>72.91</v>
      </c>
      <c r="C5" s="128">
        <v>8481.7999999999993</v>
      </c>
      <c r="D5" s="80">
        <f t="shared" si="0"/>
        <v>-1.3713658804175968E-4</v>
      </c>
      <c r="E5" s="80">
        <f t="shared" si="1"/>
        <v>-2.1232892520021234E-2</v>
      </c>
      <c r="G5" t="s">
        <v>572</v>
      </c>
      <c r="H5">
        <v>0.562570649640598</v>
      </c>
    </row>
    <row r="6" spans="1:15" ht="15" customHeight="1" x14ac:dyDescent="0.2">
      <c r="A6" s="122">
        <v>46081</v>
      </c>
      <c r="B6" s="118">
        <v>79.62</v>
      </c>
      <c r="C6" s="128">
        <v>9198.6</v>
      </c>
      <c r="D6" s="80">
        <f t="shared" si="0"/>
        <v>9.20312714305309E-2</v>
      </c>
      <c r="E6" s="80">
        <f t="shared" si="1"/>
        <v>8.451036336626673E-2</v>
      </c>
      <c r="G6" t="s">
        <v>573</v>
      </c>
      <c r="H6">
        <v>0.55665944220330899</v>
      </c>
    </row>
    <row r="7" spans="1:15" ht="15" customHeight="1" x14ac:dyDescent="0.2">
      <c r="A7" s="122">
        <v>46053</v>
      </c>
      <c r="B7" s="118">
        <v>83.36</v>
      </c>
      <c r="C7" s="128">
        <v>8869.1</v>
      </c>
      <c r="D7" s="80">
        <f t="shared" si="0"/>
        <v>4.697312233107253E-2</v>
      </c>
      <c r="E7" s="80">
        <f t="shared" si="1"/>
        <v>-3.5820668362576913E-2</v>
      </c>
      <c r="G7" t="s">
        <v>574</v>
      </c>
      <c r="H7">
        <v>4.3298239642692998E-2</v>
      </c>
    </row>
    <row r="8" spans="1:15" ht="15.75" customHeight="1" x14ac:dyDescent="0.2">
      <c r="A8" s="122">
        <v>46022</v>
      </c>
      <c r="B8" s="118">
        <v>81.09</v>
      </c>
      <c r="C8" s="128">
        <v>8714.2999999999993</v>
      </c>
      <c r="D8" s="80">
        <f t="shared" si="0"/>
        <v>-2.7231285988483636E-2</v>
      </c>
      <c r="E8" s="80">
        <f t="shared" si="1"/>
        <v>-1.745385664836354E-2</v>
      </c>
      <c r="G8" s="129" t="s">
        <v>575</v>
      </c>
      <c r="H8" s="129">
        <v>76</v>
      </c>
    </row>
    <row r="9" spans="1:15" ht="15" customHeight="1" x14ac:dyDescent="0.2">
      <c r="A9" s="122">
        <v>45991</v>
      </c>
      <c r="B9" s="118">
        <v>81.88</v>
      </c>
      <c r="C9" s="128">
        <v>8614.1</v>
      </c>
      <c r="D9" s="80">
        <f t="shared" si="0"/>
        <v>9.7422616845479343E-3</v>
      </c>
      <c r="E9" s="80">
        <f t="shared" si="1"/>
        <v>-1.1498341805996916E-2</v>
      </c>
    </row>
    <row r="10" spans="1:15" ht="15.75" customHeight="1" x14ac:dyDescent="0.2">
      <c r="A10" s="122">
        <v>45961</v>
      </c>
      <c r="B10" s="118">
        <v>82.494</v>
      </c>
      <c r="C10" s="128">
        <v>8881.9</v>
      </c>
      <c r="D10" s="80">
        <f t="shared" si="0"/>
        <v>7.4987787005374252E-3</v>
      </c>
      <c r="E10" s="80">
        <f t="shared" si="1"/>
        <v>3.1088564098396727E-2</v>
      </c>
      <c r="G10" t="s">
        <v>576</v>
      </c>
    </row>
    <row r="11" spans="1:15" ht="15" customHeight="1" x14ac:dyDescent="0.2">
      <c r="A11" s="122">
        <v>45930</v>
      </c>
      <c r="B11" s="118">
        <v>90.370999999999995</v>
      </c>
      <c r="C11" s="128">
        <v>8848.7999999999993</v>
      </c>
      <c r="D11" s="80">
        <f t="shared" si="0"/>
        <v>9.5485732295682052E-2</v>
      </c>
      <c r="E11" s="80">
        <f t="shared" si="1"/>
        <v>-3.7266801022304199E-3</v>
      </c>
      <c r="G11" s="1"/>
      <c r="H11" s="1" t="s">
        <v>577</v>
      </c>
      <c r="I11" s="1" t="s">
        <v>578</v>
      </c>
      <c r="J11" s="1" t="s">
        <v>579</v>
      </c>
      <c r="K11" s="1" t="s">
        <v>580</v>
      </c>
      <c r="L11" s="1" t="s">
        <v>581</v>
      </c>
    </row>
    <row r="12" spans="1:15" ht="15" customHeight="1" x14ac:dyDescent="0.2">
      <c r="A12" s="122">
        <v>45900</v>
      </c>
      <c r="B12" s="118">
        <v>90.165000000000006</v>
      </c>
      <c r="C12" s="128">
        <v>8973.1</v>
      </c>
      <c r="D12" s="80">
        <f t="shared" si="0"/>
        <v>-2.279492315012436E-3</v>
      </c>
      <c r="E12" s="80">
        <f t="shared" si="1"/>
        <v>1.40471024319683E-2</v>
      </c>
      <c r="G12" t="s">
        <v>582</v>
      </c>
      <c r="H12">
        <v>1</v>
      </c>
      <c r="I12">
        <v>0.17841910236802799</v>
      </c>
      <c r="J12">
        <v>0.17841910236802799</v>
      </c>
      <c r="K12">
        <v>95.170175570523497</v>
      </c>
      <c r="L12">
        <v>6.3099147978040896E-15</v>
      </c>
    </row>
    <row r="13" spans="1:15" ht="15" customHeight="1" x14ac:dyDescent="0.2">
      <c r="A13" s="122">
        <v>45869</v>
      </c>
      <c r="B13" s="118">
        <v>84.212999999999994</v>
      </c>
      <c r="C13" s="128">
        <v>8742.7999999999993</v>
      </c>
      <c r="D13" s="80">
        <f t="shared" si="0"/>
        <v>-6.6012310763600202E-2</v>
      </c>
      <c r="E13" s="80">
        <f t="shared" si="1"/>
        <v>-2.5665600517101234E-2</v>
      </c>
      <c r="G13" t="s">
        <v>583</v>
      </c>
      <c r="H13">
        <v>74</v>
      </c>
      <c r="I13">
        <v>0.13873057915554901</v>
      </c>
      <c r="J13">
        <v>1.87473755615607E-3</v>
      </c>
    </row>
    <row r="14" spans="1:15" ht="15.75" customHeight="1" x14ac:dyDescent="0.2">
      <c r="A14" s="122">
        <v>45838</v>
      </c>
      <c r="B14" s="118">
        <v>83.230999999999995</v>
      </c>
      <c r="C14" s="128">
        <v>8542.2999999999993</v>
      </c>
      <c r="D14" s="80">
        <f t="shared" si="0"/>
        <v>-1.166090746084333E-2</v>
      </c>
      <c r="E14" s="80">
        <f t="shared" si="1"/>
        <v>-2.2933156425858994E-2</v>
      </c>
      <c r="G14" s="129" t="s">
        <v>584</v>
      </c>
      <c r="H14" s="129">
        <v>75</v>
      </c>
      <c r="I14" s="129">
        <v>0.31714968152357698</v>
      </c>
      <c r="J14" s="129"/>
      <c r="K14" s="129"/>
      <c r="L14" s="129"/>
    </row>
    <row r="15" spans="1:15" ht="15.75" customHeight="1" x14ac:dyDescent="0.2">
      <c r="A15" s="122">
        <v>45808</v>
      </c>
      <c r="B15" s="118">
        <v>81.531999999999996</v>
      </c>
      <c r="C15" s="128">
        <v>8434.7000000000007</v>
      </c>
      <c r="D15" s="80">
        <f t="shared" si="0"/>
        <v>-2.0413067246578778E-2</v>
      </c>
      <c r="E15" s="80">
        <f t="shared" si="1"/>
        <v>-1.2596139213092323E-2</v>
      </c>
    </row>
    <row r="16" spans="1:15" ht="15" customHeight="1" x14ac:dyDescent="0.2">
      <c r="A16" s="122">
        <v>45777</v>
      </c>
      <c r="B16" s="118">
        <v>76.915999999999997</v>
      </c>
      <c r="C16" s="128">
        <v>8126.2</v>
      </c>
      <c r="D16" s="80">
        <f t="shared" si="0"/>
        <v>-5.661580729038905E-2</v>
      </c>
      <c r="E16" s="80">
        <f t="shared" si="1"/>
        <v>-3.6575100477788287E-2</v>
      </c>
      <c r="G16" s="1"/>
      <c r="H16" s="1" t="s">
        <v>585</v>
      </c>
      <c r="I16" s="1" t="s">
        <v>574</v>
      </c>
      <c r="J16" s="1" t="s">
        <v>586</v>
      </c>
      <c r="K16" s="1" t="s">
        <v>587</v>
      </c>
      <c r="L16" s="1" t="s">
        <v>588</v>
      </c>
      <c r="M16" s="1" t="s">
        <v>589</v>
      </c>
      <c r="N16" s="1" t="s">
        <v>590</v>
      </c>
      <c r="O16" s="1" t="s">
        <v>591</v>
      </c>
    </row>
    <row r="17" spans="1:15" ht="15" customHeight="1" x14ac:dyDescent="0.2">
      <c r="A17" s="122">
        <v>45747</v>
      </c>
      <c r="B17" s="118">
        <v>70.718999999999994</v>
      </c>
      <c r="C17" s="128">
        <v>7843.4</v>
      </c>
      <c r="D17" s="80">
        <f t="shared" si="0"/>
        <v>-8.056841229393108E-2</v>
      </c>
      <c r="E17" s="80">
        <f t="shared" si="1"/>
        <v>-3.480101400408557E-2</v>
      </c>
      <c r="G17" t="s">
        <v>592</v>
      </c>
      <c r="H17">
        <v>-4.3870954845454304E-3</v>
      </c>
      <c r="I17">
        <v>4.96980388376331E-3</v>
      </c>
      <c r="J17">
        <v>-0.88275022257485203</v>
      </c>
      <c r="K17">
        <v>0.380229930952666</v>
      </c>
      <c r="L17">
        <v>-1.4289645885463E-2</v>
      </c>
      <c r="M17">
        <v>5.5154549163721001E-3</v>
      </c>
      <c r="N17">
        <v>-1.4289645885463E-2</v>
      </c>
      <c r="O17">
        <v>5.5154549163721001E-3</v>
      </c>
    </row>
    <row r="18" spans="1:15" ht="15.75" customHeight="1" x14ac:dyDescent="0.2">
      <c r="A18" s="122">
        <v>45716</v>
      </c>
      <c r="B18" s="118">
        <v>72.831000000000003</v>
      </c>
      <c r="C18" s="128">
        <v>8172.4</v>
      </c>
      <c r="D18" s="80">
        <f t="shared" si="0"/>
        <v>2.9864675688287576E-2</v>
      </c>
      <c r="E18" s="80">
        <f t="shared" si="1"/>
        <v>4.1946094805824008E-2</v>
      </c>
      <c r="G18" s="129">
        <v>8.3673375819553098E-4</v>
      </c>
      <c r="H18" s="129">
        <v>0.98911442075137701</v>
      </c>
      <c r="I18" s="129">
        <v>0.101390227711931</v>
      </c>
      <c r="J18" s="129">
        <v>9.7555202613968</v>
      </c>
      <c r="K18" s="129">
        <v>6.3099147978042103E-15</v>
      </c>
      <c r="L18" s="129">
        <v>0.787089982049055</v>
      </c>
      <c r="M18" s="129">
        <v>1.1911388594537</v>
      </c>
      <c r="N18" s="129">
        <v>0.787089982049055</v>
      </c>
      <c r="O18" s="129">
        <v>1.1911388594537</v>
      </c>
    </row>
    <row r="19" spans="1:15" ht="15" customHeight="1" x14ac:dyDescent="0.2">
      <c r="A19" s="122">
        <v>45688</v>
      </c>
      <c r="B19" s="118">
        <v>75.227000000000004</v>
      </c>
      <c r="C19" s="128">
        <v>8532.2999999999993</v>
      </c>
      <c r="D19" s="80">
        <f t="shared" si="0"/>
        <v>3.2898079114662721E-2</v>
      </c>
      <c r="E19" s="80">
        <f t="shared" si="1"/>
        <v>4.4038470951005784E-2</v>
      </c>
    </row>
    <row r="20" spans="1:15" ht="15" customHeight="1" x14ac:dyDescent="0.2">
      <c r="A20" s="122">
        <v>45657</v>
      </c>
      <c r="B20" s="118">
        <v>70.248000000000005</v>
      </c>
      <c r="C20" s="128">
        <v>8159.1</v>
      </c>
      <c r="D20" s="80">
        <f t="shared" si="0"/>
        <v>-6.618634266952024E-2</v>
      </c>
      <c r="E20" s="80">
        <f t="shared" si="1"/>
        <v>-4.3739671600857795E-2</v>
      </c>
    </row>
    <row r="21" spans="1:15" ht="15" customHeight="1" x14ac:dyDescent="0.2">
      <c r="A21" s="122">
        <v>45626</v>
      </c>
      <c r="B21" s="118">
        <v>70.543000000000006</v>
      </c>
      <c r="C21" s="128">
        <v>8436.2000000000007</v>
      </c>
      <c r="D21" s="80">
        <f t="shared" si="0"/>
        <v>4.1994078123220833E-3</v>
      </c>
      <c r="E21" s="80">
        <f t="shared" si="1"/>
        <v>3.3962079150886781E-2</v>
      </c>
    </row>
    <row r="22" spans="1:15" ht="15" customHeight="1" x14ac:dyDescent="0.2">
      <c r="A22" s="122">
        <v>45596</v>
      </c>
      <c r="B22" s="118">
        <v>66.073999999999998</v>
      </c>
      <c r="C22" s="128">
        <v>8160</v>
      </c>
      <c r="D22" s="80">
        <f t="shared" si="0"/>
        <v>-6.3351431042059564E-2</v>
      </c>
      <c r="E22" s="80">
        <f t="shared" si="1"/>
        <v>-3.2739859178303111E-2</v>
      </c>
      <c r="G22" s="130" t="s">
        <v>735</v>
      </c>
      <c r="H22" t="s">
        <v>736</v>
      </c>
    </row>
    <row r="23" spans="1:15" ht="15" customHeight="1" x14ac:dyDescent="0.2">
      <c r="A23" s="122">
        <v>45565</v>
      </c>
      <c r="B23" s="118">
        <v>69.168000000000006</v>
      </c>
      <c r="C23" s="128">
        <v>8269.7999999999993</v>
      </c>
      <c r="D23" s="80">
        <f t="shared" si="0"/>
        <v>4.6826285679692596E-2</v>
      </c>
      <c r="E23" s="80">
        <f t="shared" si="1"/>
        <v>1.3455882352941087E-2</v>
      </c>
    </row>
    <row r="24" spans="1:15" ht="15" customHeight="1" x14ac:dyDescent="0.2">
      <c r="A24" s="122">
        <v>45535</v>
      </c>
      <c r="B24" s="118">
        <v>71.299000000000007</v>
      </c>
      <c r="C24" s="128">
        <v>8091.9</v>
      </c>
      <c r="D24" s="80">
        <f t="shared" si="0"/>
        <v>3.0809044644922508E-2</v>
      </c>
      <c r="E24" s="80">
        <f t="shared" si="1"/>
        <v>-2.1512007545527057E-2</v>
      </c>
      <c r="G24" s="102" t="s">
        <v>737</v>
      </c>
      <c r="H24" s="80" t="s">
        <v>738</v>
      </c>
    </row>
    <row r="25" spans="1:15" ht="15" customHeight="1" x14ac:dyDescent="0.2">
      <c r="A25" s="122">
        <v>45504</v>
      </c>
      <c r="B25" s="118">
        <v>72.33</v>
      </c>
      <c r="C25" s="128">
        <v>8092.3</v>
      </c>
      <c r="D25" s="80">
        <f t="shared" si="0"/>
        <v>1.4460230858777704E-2</v>
      </c>
      <c r="E25" s="80">
        <f t="shared" si="1"/>
        <v>4.9432148197647734E-5</v>
      </c>
      <c r="G25" s="102" t="s">
        <v>739</v>
      </c>
      <c r="H25" s="80">
        <v>76</v>
      </c>
    </row>
    <row r="26" spans="1:15" ht="15" customHeight="1" x14ac:dyDescent="0.2">
      <c r="A26" s="122">
        <v>45473</v>
      </c>
      <c r="B26" s="118">
        <v>64.012</v>
      </c>
      <c r="C26" s="128">
        <v>7767.5</v>
      </c>
      <c r="D26" s="80">
        <f t="shared" si="0"/>
        <v>-0.11500069127609565</v>
      </c>
      <c r="E26" s="80">
        <f t="shared" si="1"/>
        <v>-4.0136920282243638E-2</v>
      </c>
      <c r="G26" s="102" t="s">
        <v>572</v>
      </c>
      <c r="H26" s="80">
        <v>0.56259999999999999</v>
      </c>
    </row>
    <row r="27" spans="1:15" ht="15" customHeight="1" x14ac:dyDescent="0.2">
      <c r="A27" s="122">
        <v>45443</v>
      </c>
      <c r="B27" s="118">
        <v>63.726999999999997</v>
      </c>
      <c r="C27" s="128">
        <v>7701.7</v>
      </c>
      <c r="D27" s="80">
        <f t="shared" si="0"/>
        <v>-4.4522901955883851E-3</v>
      </c>
      <c r="E27" s="80">
        <f t="shared" si="1"/>
        <v>-8.4711940778886621E-3</v>
      </c>
      <c r="G27" s="102" t="s">
        <v>740</v>
      </c>
      <c r="H27" s="80">
        <v>0.98911000000000004</v>
      </c>
    </row>
    <row r="28" spans="1:15" ht="15" customHeight="1" x14ac:dyDescent="0.2">
      <c r="A28" s="122">
        <v>45412</v>
      </c>
      <c r="B28" s="118">
        <v>65.593000000000004</v>
      </c>
      <c r="C28" s="128">
        <v>7664.1</v>
      </c>
      <c r="D28" s="80">
        <f t="shared" si="0"/>
        <v>2.9281152415773642E-2</v>
      </c>
      <c r="E28" s="80">
        <f t="shared" si="1"/>
        <v>-4.8820390303438797E-3</v>
      </c>
      <c r="G28" s="102" t="s">
        <v>574</v>
      </c>
      <c r="H28" s="80">
        <v>0.1014</v>
      </c>
    </row>
    <row r="29" spans="1:15" ht="15" customHeight="1" x14ac:dyDescent="0.2">
      <c r="A29" s="122">
        <v>45382</v>
      </c>
      <c r="B29" s="118">
        <v>67.174000000000007</v>
      </c>
      <c r="C29" s="128">
        <v>7896.9</v>
      </c>
      <c r="D29" s="80">
        <f t="shared" si="0"/>
        <v>2.4103181741954218E-2</v>
      </c>
      <c r="E29" s="80">
        <f t="shared" si="1"/>
        <v>3.0375386542451071E-2</v>
      </c>
      <c r="G29" s="102" t="s">
        <v>741</v>
      </c>
      <c r="H29" s="80">
        <v>9.7560000000000002</v>
      </c>
    </row>
    <row r="30" spans="1:15" ht="15" customHeight="1" x14ac:dyDescent="0.2">
      <c r="A30" s="122">
        <v>45351</v>
      </c>
      <c r="B30" s="118">
        <v>65.445999999999998</v>
      </c>
      <c r="C30" s="128">
        <v>7698.7</v>
      </c>
      <c r="D30" s="80">
        <f t="shared" si="0"/>
        <v>-2.5724238544675149E-2</v>
      </c>
      <c r="E30" s="80">
        <f t="shared" si="1"/>
        <v>-2.5098456356291689E-2</v>
      </c>
      <c r="G30" s="102" t="s">
        <v>742</v>
      </c>
      <c r="H30" s="80">
        <v>6.3099147978042103E-15</v>
      </c>
    </row>
    <row r="31" spans="1:15" ht="15" customHeight="1" x14ac:dyDescent="0.2">
      <c r="A31" s="122">
        <v>45322</v>
      </c>
      <c r="B31" s="118">
        <v>57.127000000000002</v>
      </c>
      <c r="C31" s="128">
        <v>7680.7</v>
      </c>
      <c r="D31" s="80">
        <f t="shared" si="0"/>
        <v>-0.12711242856706287</v>
      </c>
      <c r="E31" s="80">
        <f t="shared" si="1"/>
        <v>-2.3380570745710314E-3</v>
      </c>
      <c r="G31" s="102" t="s">
        <v>743</v>
      </c>
      <c r="H31" s="92">
        <v>0.2908</v>
      </c>
    </row>
    <row r="32" spans="1:15" ht="15" customHeight="1" x14ac:dyDescent="0.2">
      <c r="A32" s="122">
        <v>45291</v>
      </c>
      <c r="B32" s="118">
        <v>56.018000000000001</v>
      </c>
      <c r="C32" s="128">
        <v>7590.8</v>
      </c>
      <c r="D32" s="80">
        <f t="shared" si="0"/>
        <v>-1.9412887076163666E-2</v>
      </c>
      <c r="E32" s="80">
        <f t="shared" si="1"/>
        <v>-1.1704662335464168E-2</v>
      </c>
      <c r="G32" s="102" t="s">
        <v>744</v>
      </c>
      <c r="H32" s="80">
        <v>2.4015</v>
      </c>
    </row>
    <row r="33" spans="1:8" ht="15" customHeight="1" x14ac:dyDescent="0.2">
      <c r="A33" s="122">
        <v>45260</v>
      </c>
      <c r="B33" s="118">
        <v>51.716000000000001</v>
      </c>
      <c r="C33" s="128">
        <v>7087.3</v>
      </c>
      <c r="D33" s="80">
        <f t="shared" si="0"/>
        <v>-7.6796743903745218E-2</v>
      </c>
      <c r="E33" s="80">
        <f t="shared" si="1"/>
        <v>-6.6330294567107553E-2</v>
      </c>
      <c r="G33" s="131" t="s">
        <v>745</v>
      </c>
      <c r="H33" s="100">
        <f>H27/(1+(1-0.2908)*H32)</f>
        <v>0.36591098113241327</v>
      </c>
    </row>
    <row r="34" spans="1:8" ht="15" customHeight="1" x14ac:dyDescent="0.2">
      <c r="A34" s="122">
        <v>45230</v>
      </c>
      <c r="B34" s="118">
        <v>49.615000000000002</v>
      </c>
      <c r="C34" s="128">
        <v>6780.7</v>
      </c>
      <c r="D34" s="80">
        <f t="shared" si="0"/>
        <v>-4.0625725114084597E-2</v>
      </c>
      <c r="E34" s="80">
        <f t="shared" si="1"/>
        <v>-4.3260480013545405E-2</v>
      </c>
    </row>
    <row r="35" spans="1:8" ht="15" customHeight="1" x14ac:dyDescent="0.2">
      <c r="A35" s="122">
        <v>45199</v>
      </c>
      <c r="B35" s="118">
        <v>51.912999999999997</v>
      </c>
      <c r="C35" s="128">
        <v>7048.6</v>
      </c>
      <c r="D35" s="80">
        <f t="shared" ref="D35:D66" si="2">(B35-B34)/B34</f>
        <v>4.631663811347364E-2</v>
      </c>
      <c r="E35" s="80">
        <f t="shared" ref="E35:E66" si="3">(C35-C34)/C34</f>
        <v>3.9509195215833258E-2</v>
      </c>
      <c r="G35" t="s">
        <v>746</v>
      </c>
      <c r="H35">
        <v>2.7089999999999999E-2</v>
      </c>
    </row>
    <row r="36" spans="1:8" ht="15" customHeight="1" x14ac:dyDescent="0.2">
      <c r="A36" s="122">
        <v>45169</v>
      </c>
      <c r="B36" s="118">
        <v>52.904000000000003</v>
      </c>
      <c r="C36" s="128">
        <v>7305.3</v>
      </c>
      <c r="D36" s="80">
        <f t="shared" si="2"/>
        <v>1.9089630728334073E-2</v>
      </c>
      <c r="E36" s="80">
        <f t="shared" si="3"/>
        <v>3.6418579576086005E-2</v>
      </c>
      <c r="G36" t="s">
        <v>747</v>
      </c>
      <c r="H36">
        <v>7.7329999999999996E-2</v>
      </c>
    </row>
    <row r="37" spans="1:8" ht="15" customHeight="1" x14ac:dyDescent="0.2">
      <c r="A37" s="122">
        <v>45138</v>
      </c>
      <c r="B37" s="118">
        <v>48.76</v>
      </c>
      <c r="C37" s="128">
        <v>7410.4</v>
      </c>
      <c r="D37" s="80">
        <f t="shared" si="2"/>
        <v>-7.8330561016180356E-2</v>
      </c>
      <c r="E37" s="80">
        <f t="shared" si="3"/>
        <v>1.4386815052085397E-2</v>
      </c>
      <c r="G37" t="s">
        <v>748</v>
      </c>
      <c r="H37">
        <f>H33*(1+(1-H31)*1.0747)</f>
        <v>0.64480000281760819</v>
      </c>
    </row>
    <row r="38" spans="1:8" ht="15" customHeight="1" x14ac:dyDescent="0.2">
      <c r="A38" s="122">
        <v>45107</v>
      </c>
      <c r="B38" s="118">
        <v>48.456000000000003</v>
      </c>
      <c r="C38" s="128">
        <v>7203.3</v>
      </c>
      <c r="D38" s="80">
        <f t="shared" si="2"/>
        <v>-6.2346185397866068E-3</v>
      </c>
      <c r="E38" s="80">
        <f t="shared" si="3"/>
        <v>-2.7947209327431645E-2</v>
      </c>
      <c r="G38" t="s">
        <v>749</v>
      </c>
      <c r="H38">
        <f>H33*(1+(1-H31)*1.0216)</f>
        <v>0.63102033681641345</v>
      </c>
    </row>
    <row r="39" spans="1:8" ht="15" customHeight="1" x14ac:dyDescent="0.2">
      <c r="A39" s="122">
        <v>45077</v>
      </c>
      <c r="B39" s="118">
        <v>46.816000000000003</v>
      </c>
      <c r="C39" s="128">
        <v>7091.3</v>
      </c>
      <c r="D39" s="80">
        <f t="shared" si="2"/>
        <v>-3.3845137857024941E-2</v>
      </c>
      <c r="E39" s="80">
        <f t="shared" si="3"/>
        <v>-1.5548429192175807E-2</v>
      </c>
      <c r="G39" t="s">
        <v>750</v>
      </c>
      <c r="H39">
        <f>H33*(1+(1-H31)*0.9711)</f>
        <v>0.61791538139154856</v>
      </c>
    </row>
    <row r="40" spans="1:8" ht="15" customHeight="1" x14ac:dyDescent="0.2">
      <c r="A40" s="122">
        <v>45046</v>
      </c>
      <c r="B40" s="118">
        <v>51.039000000000001</v>
      </c>
      <c r="C40" s="128">
        <v>7309.2</v>
      </c>
      <c r="D40" s="80">
        <f t="shared" si="2"/>
        <v>9.0204203691045773E-2</v>
      </c>
      <c r="E40" s="80">
        <f t="shared" si="3"/>
        <v>3.0727793211399831E-2</v>
      </c>
      <c r="G40" t="s">
        <v>751</v>
      </c>
      <c r="H40">
        <f>H33*(1+(1-H31)*0.9238)</f>
        <v>0.6056408389837048</v>
      </c>
    </row>
    <row r="41" spans="1:8" ht="15" customHeight="1" x14ac:dyDescent="0.2">
      <c r="A41" s="122">
        <v>45016</v>
      </c>
      <c r="B41" s="118">
        <v>49.348999999999997</v>
      </c>
      <c r="C41" s="128">
        <v>7177.8</v>
      </c>
      <c r="D41" s="80">
        <f t="shared" si="2"/>
        <v>-3.3111934011246395E-2</v>
      </c>
      <c r="E41" s="80">
        <f t="shared" si="3"/>
        <v>-1.797734362173694E-2</v>
      </c>
      <c r="G41" t="s">
        <v>752</v>
      </c>
      <c r="H41">
        <f>H33*(1+(1-H31)*0.8794)</f>
        <v>0.59411885837253642</v>
      </c>
    </row>
    <row r="42" spans="1:8" ht="15" customHeight="1" x14ac:dyDescent="0.2">
      <c r="A42" s="122">
        <v>44985</v>
      </c>
      <c r="B42" s="118">
        <v>47.375</v>
      </c>
      <c r="C42" s="128">
        <v>7258.4</v>
      </c>
      <c r="D42" s="80">
        <f t="shared" si="2"/>
        <v>-4.0000810553405271E-2</v>
      </c>
      <c r="E42" s="80">
        <f t="shared" si="3"/>
        <v>1.1229067402268028E-2</v>
      </c>
    </row>
    <row r="43" spans="1:8" ht="15" customHeight="1" x14ac:dyDescent="0.2">
      <c r="A43" s="122">
        <v>44957</v>
      </c>
      <c r="B43" s="118">
        <v>48.76</v>
      </c>
      <c r="C43" s="128">
        <v>7476.7</v>
      </c>
      <c r="D43" s="80">
        <f t="shared" si="2"/>
        <v>2.9234828496042174E-2</v>
      </c>
      <c r="E43" s="80">
        <f t="shared" si="3"/>
        <v>3.0075498732503057E-2</v>
      </c>
    </row>
    <row r="44" spans="1:8" ht="15" customHeight="1" x14ac:dyDescent="0.2">
      <c r="A44" s="122">
        <v>44926</v>
      </c>
      <c r="B44" s="118">
        <v>45.087000000000003</v>
      </c>
      <c r="C44" s="128">
        <v>7038.7</v>
      </c>
      <c r="D44" s="80">
        <f t="shared" si="2"/>
        <v>-7.5328137817883403E-2</v>
      </c>
      <c r="E44" s="80">
        <f t="shared" si="3"/>
        <v>-5.8581994730295454E-2</v>
      </c>
    </row>
    <row r="45" spans="1:8" ht="15" customHeight="1" x14ac:dyDescent="0.2">
      <c r="A45" s="122">
        <v>44895</v>
      </c>
      <c r="B45" s="118">
        <v>47.698999999999998</v>
      </c>
      <c r="C45" s="128">
        <v>7284.2</v>
      </c>
      <c r="D45" s="80">
        <f t="shared" si="2"/>
        <v>5.7932441723778351E-2</v>
      </c>
      <c r="E45" s="80">
        <f t="shared" si="3"/>
        <v>3.4878599741429525E-2</v>
      </c>
    </row>
    <row r="46" spans="1:8" ht="15" customHeight="1" x14ac:dyDescent="0.2">
      <c r="A46" s="122">
        <v>44865</v>
      </c>
      <c r="B46" s="118">
        <v>44.645000000000003</v>
      </c>
      <c r="C46" s="128">
        <v>6863.5</v>
      </c>
      <c r="D46" s="80">
        <f t="shared" si="2"/>
        <v>-6.4026499507327098E-2</v>
      </c>
      <c r="E46" s="80">
        <f t="shared" si="3"/>
        <v>-5.7755141264654981E-2</v>
      </c>
    </row>
    <row r="47" spans="1:8" ht="15" customHeight="1" x14ac:dyDescent="0.2">
      <c r="A47" s="122">
        <v>44834</v>
      </c>
      <c r="B47" s="118">
        <v>41.954000000000001</v>
      </c>
      <c r="C47" s="128">
        <v>6474.2</v>
      </c>
      <c r="D47" s="80">
        <f t="shared" si="2"/>
        <v>-6.0275506775674823E-2</v>
      </c>
      <c r="E47" s="80">
        <f t="shared" si="3"/>
        <v>-5.6720332192030334E-2</v>
      </c>
    </row>
    <row r="48" spans="1:8" ht="15" customHeight="1" x14ac:dyDescent="0.2">
      <c r="A48" s="122">
        <v>44804</v>
      </c>
      <c r="B48" s="118">
        <v>46.167000000000002</v>
      </c>
      <c r="C48" s="128">
        <v>6986.8</v>
      </c>
      <c r="D48" s="80">
        <f t="shared" si="2"/>
        <v>0.10041950707918199</v>
      </c>
      <c r="E48" s="80">
        <f t="shared" si="3"/>
        <v>7.917580550492731E-2</v>
      </c>
    </row>
    <row r="49" spans="1:5" ht="15" customHeight="1" x14ac:dyDescent="0.2">
      <c r="A49" s="122">
        <v>44773</v>
      </c>
      <c r="B49" s="118">
        <v>45.793999999999997</v>
      </c>
      <c r="C49" s="128">
        <v>6945.2</v>
      </c>
      <c r="D49" s="80">
        <f t="shared" si="2"/>
        <v>-8.0793640479131113E-3</v>
      </c>
      <c r="E49" s="80">
        <f t="shared" si="3"/>
        <v>-5.9540848457091036E-3</v>
      </c>
    </row>
    <row r="50" spans="1:5" ht="15" customHeight="1" x14ac:dyDescent="0.2">
      <c r="A50" s="122">
        <v>44742</v>
      </c>
      <c r="B50" s="118">
        <v>41.158999999999999</v>
      </c>
      <c r="C50" s="128">
        <v>6568.1</v>
      </c>
      <c r="D50" s="80">
        <f t="shared" si="2"/>
        <v>-0.10121413285583261</v>
      </c>
      <c r="E50" s="80">
        <f t="shared" si="3"/>
        <v>-5.4296492541611396E-2</v>
      </c>
    </row>
    <row r="51" spans="1:5" ht="15" customHeight="1" x14ac:dyDescent="0.2">
      <c r="A51" s="122">
        <v>44712</v>
      </c>
      <c r="B51" s="118">
        <v>46.344000000000001</v>
      </c>
      <c r="C51" s="128">
        <v>7211.2</v>
      </c>
      <c r="D51" s="80">
        <f t="shared" si="2"/>
        <v>0.12597487791248579</v>
      </c>
      <c r="E51" s="80">
        <f t="shared" si="3"/>
        <v>9.791263835812479E-2</v>
      </c>
    </row>
    <row r="52" spans="1:5" ht="15" customHeight="1" x14ac:dyDescent="0.2">
      <c r="A52" s="122">
        <v>44681</v>
      </c>
      <c r="B52" s="118">
        <v>48.524000000000001</v>
      </c>
      <c r="C52" s="128">
        <v>7435</v>
      </c>
      <c r="D52" s="80">
        <f t="shared" si="2"/>
        <v>4.7039530467805964E-2</v>
      </c>
      <c r="E52" s="80">
        <f t="shared" si="3"/>
        <v>3.1035056578655452E-2</v>
      </c>
    </row>
    <row r="53" spans="1:5" ht="15" customHeight="1" x14ac:dyDescent="0.2">
      <c r="A53" s="122">
        <v>44651</v>
      </c>
      <c r="B53" s="118">
        <v>49.506999999999998</v>
      </c>
      <c r="C53" s="128">
        <v>7499.6</v>
      </c>
      <c r="D53" s="80">
        <f t="shared" si="2"/>
        <v>2.0258016651553808E-2</v>
      </c>
      <c r="E53" s="80">
        <f t="shared" si="3"/>
        <v>8.688634835238785E-3</v>
      </c>
    </row>
    <row r="54" spans="1:5" ht="15" customHeight="1" x14ac:dyDescent="0.2">
      <c r="A54" s="122">
        <v>44620</v>
      </c>
      <c r="B54" s="118">
        <v>47.326000000000001</v>
      </c>
      <c r="C54" s="128">
        <v>7049.1</v>
      </c>
      <c r="D54" s="80">
        <f t="shared" si="2"/>
        <v>-4.4054376148827387E-2</v>
      </c>
      <c r="E54" s="80">
        <f t="shared" si="3"/>
        <v>-6.0069870393087629E-2</v>
      </c>
    </row>
    <row r="55" spans="1:5" ht="15" customHeight="1" x14ac:dyDescent="0.2">
      <c r="A55" s="122">
        <v>44592</v>
      </c>
      <c r="B55" s="118">
        <v>51.765000000000001</v>
      </c>
      <c r="C55" s="128">
        <v>6971.6</v>
      </c>
      <c r="D55" s="80">
        <f t="shared" si="2"/>
        <v>9.3796221949879563E-2</v>
      </c>
      <c r="E55" s="80">
        <f t="shared" si="3"/>
        <v>-1.0994311330524463E-2</v>
      </c>
    </row>
    <row r="56" spans="1:5" ht="15" customHeight="1" x14ac:dyDescent="0.2">
      <c r="A56" s="122">
        <v>44561</v>
      </c>
      <c r="B56" s="118">
        <v>58.237000000000002</v>
      </c>
      <c r="C56" s="128">
        <v>7444.6</v>
      </c>
      <c r="D56" s="80">
        <f t="shared" si="2"/>
        <v>0.12502656234907758</v>
      </c>
      <c r="E56" s="80">
        <f t="shared" si="3"/>
        <v>6.7846692294451769E-2</v>
      </c>
    </row>
    <row r="57" spans="1:5" ht="15" customHeight="1" x14ac:dyDescent="0.2">
      <c r="A57" s="122">
        <v>44530</v>
      </c>
      <c r="B57" s="118">
        <v>55.841000000000001</v>
      </c>
      <c r="C57" s="128">
        <v>7256</v>
      </c>
      <c r="D57" s="80">
        <f t="shared" si="2"/>
        <v>-4.1142229167024411E-2</v>
      </c>
      <c r="E57" s="80">
        <f t="shared" si="3"/>
        <v>-2.5333798995244922E-2</v>
      </c>
    </row>
    <row r="58" spans="1:5" ht="15" customHeight="1" x14ac:dyDescent="0.2">
      <c r="A58" s="122">
        <v>44500</v>
      </c>
      <c r="B58" s="118">
        <v>54.363</v>
      </c>
      <c r="C58" s="128">
        <v>7323.7</v>
      </c>
      <c r="D58" s="80">
        <f t="shared" si="2"/>
        <v>-2.6468007378091393E-2</v>
      </c>
      <c r="E58" s="80">
        <f t="shared" si="3"/>
        <v>9.3302094818081341E-3</v>
      </c>
    </row>
    <row r="59" spans="1:5" ht="15" customHeight="1" x14ac:dyDescent="0.2">
      <c r="A59" s="122">
        <v>44469</v>
      </c>
      <c r="B59" s="118">
        <v>52.939</v>
      </c>
      <c r="C59" s="128">
        <v>7332.2</v>
      </c>
      <c r="D59" s="80">
        <f t="shared" si="2"/>
        <v>-2.619428655519378E-2</v>
      </c>
      <c r="E59" s="80">
        <f t="shared" si="3"/>
        <v>1.16061553586302E-3</v>
      </c>
    </row>
    <row r="60" spans="1:5" ht="15" customHeight="1" x14ac:dyDescent="0.2">
      <c r="A60" s="122">
        <v>44439</v>
      </c>
      <c r="B60" s="118">
        <v>56.927</v>
      </c>
      <c r="C60" s="128">
        <v>7534.9</v>
      </c>
      <c r="D60" s="80">
        <f t="shared" si="2"/>
        <v>7.5331985870530221E-2</v>
      </c>
      <c r="E60" s="80">
        <f t="shared" si="3"/>
        <v>2.764518152805431E-2</v>
      </c>
    </row>
    <row r="61" spans="1:5" ht="15" customHeight="1" x14ac:dyDescent="0.2">
      <c r="A61" s="122">
        <v>44408</v>
      </c>
      <c r="B61" s="118">
        <v>58.057000000000002</v>
      </c>
      <c r="C61" s="128">
        <v>7392.6</v>
      </c>
      <c r="D61" s="80">
        <f t="shared" si="2"/>
        <v>1.9849983311960976E-2</v>
      </c>
      <c r="E61" s="80">
        <f t="shared" si="3"/>
        <v>-1.8885453025255714E-2</v>
      </c>
    </row>
    <row r="62" spans="1:5" ht="15" customHeight="1" x14ac:dyDescent="0.2">
      <c r="A62" s="122">
        <v>44377</v>
      </c>
      <c r="B62" s="118">
        <v>56.12</v>
      </c>
      <c r="C62" s="128">
        <v>7313</v>
      </c>
      <c r="D62" s="80">
        <f t="shared" si="2"/>
        <v>-3.3363763198236293E-2</v>
      </c>
      <c r="E62" s="80">
        <f t="shared" si="3"/>
        <v>-1.0767524281037843E-2</v>
      </c>
    </row>
    <row r="63" spans="1:5" ht="15" customHeight="1" x14ac:dyDescent="0.2">
      <c r="A63" s="122">
        <v>44347</v>
      </c>
      <c r="B63" s="118">
        <v>52.597000000000001</v>
      </c>
      <c r="C63" s="128">
        <v>7161.6</v>
      </c>
      <c r="D63" s="80">
        <f t="shared" si="2"/>
        <v>-6.2776193870277913E-2</v>
      </c>
      <c r="E63" s="80">
        <f t="shared" si="3"/>
        <v>-2.0702857924244446E-2</v>
      </c>
    </row>
    <row r="64" spans="1:5" ht="15" customHeight="1" x14ac:dyDescent="0.2">
      <c r="A64" s="122">
        <v>44316</v>
      </c>
      <c r="B64" s="118">
        <v>51.381</v>
      </c>
      <c r="C64" s="128">
        <v>7025.8</v>
      </c>
      <c r="D64" s="80">
        <f t="shared" si="2"/>
        <v>-2.3119189307374964E-2</v>
      </c>
      <c r="E64" s="80">
        <f t="shared" si="3"/>
        <v>-1.8962243074173393E-2</v>
      </c>
    </row>
    <row r="65" spans="1:5" ht="15" customHeight="1" x14ac:dyDescent="0.2">
      <c r="A65" s="122">
        <v>44286</v>
      </c>
      <c r="B65" s="118">
        <v>50.014000000000003</v>
      </c>
      <c r="C65" s="128">
        <v>6790.7</v>
      </c>
      <c r="D65" s="80">
        <f t="shared" si="2"/>
        <v>-2.660516533348898E-2</v>
      </c>
      <c r="E65" s="80">
        <f t="shared" si="3"/>
        <v>-3.3462381508155704E-2</v>
      </c>
    </row>
    <row r="66" spans="1:5" ht="15" customHeight="1" x14ac:dyDescent="0.2">
      <c r="A66" s="122">
        <v>44255</v>
      </c>
      <c r="B66" s="118">
        <v>46.756999999999998</v>
      </c>
      <c r="C66" s="128">
        <v>6673.3</v>
      </c>
      <c r="D66" s="80">
        <f t="shared" si="2"/>
        <v>-6.5121765905546539E-2</v>
      </c>
      <c r="E66" s="80">
        <f t="shared" si="3"/>
        <v>-1.7288350243715618E-2</v>
      </c>
    </row>
    <row r="67" spans="1:5" ht="15" customHeight="1" x14ac:dyDescent="0.2">
      <c r="A67" s="122">
        <v>44227</v>
      </c>
      <c r="B67" s="118">
        <v>51.856000000000002</v>
      </c>
      <c r="C67" s="128">
        <v>6607.4</v>
      </c>
      <c r="D67" s="80">
        <f t="shared" ref="D67:D79" si="4">(B67-B66)/B66</f>
        <v>0.10905318989670004</v>
      </c>
      <c r="E67" s="80">
        <f t="shared" ref="E67:E79" si="5">(C67-C66)/C66</f>
        <v>-9.8751742016694212E-3</v>
      </c>
    </row>
    <row r="68" spans="1:5" ht="15" customHeight="1" x14ac:dyDescent="0.2">
      <c r="A68" s="122">
        <v>44196</v>
      </c>
      <c r="B68" s="118">
        <v>47.857999999999997</v>
      </c>
      <c r="C68" s="128">
        <v>6587.1</v>
      </c>
      <c r="D68" s="80">
        <f t="shared" si="4"/>
        <v>-7.7098117864856611E-2</v>
      </c>
      <c r="E68" s="80">
        <f t="shared" si="5"/>
        <v>-3.0723128613371785E-3</v>
      </c>
    </row>
    <row r="69" spans="1:5" ht="15" customHeight="1" x14ac:dyDescent="0.2">
      <c r="A69" s="122">
        <v>44165</v>
      </c>
      <c r="B69" s="118">
        <v>46.956000000000003</v>
      </c>
      <c r="C69" s="128">
        <v>6517.8</v>
      </c>
      <c r="D69" s="80">
        <f t="shared" si="4"/>
        <v>-1.8847423628233398E-2</v>
      </c>
      <c r="E69" s="80">
        <f t="shared" si="5"/>
        <v>-1.0520562918431507E-2</v>
      </c>
    </row>
    <row r="70" spans="1:5" ht="15" customHeight="1" x14ac:dyDescent="0.2">
      <c r="A70" s="122">
        <v>44135</v>
      </c>
      <c r="B70" s="118">
        <v>43.642000000000003</v>
      </c>
      <c r="C70" s="128">
        <v>5927.6</v>
      </c>
      <c r="D70" s="80">
        <f t="shared" si="4"/>
        <v>-7.0576710111593832E-2</v>
      </c>
      <c r="E70" s="80">
        <f t="shared" si="5"/>
        <v>-9.0552026757494825E-2</v>
      </c>
    </row>
    <row r="71" spans="1:5" ht="15" customHeight="1" x14ac:dyDescent="0.2">
      <c r="A71" s="122">
        <v>44104</v>
      </c>
      <c r="B71" s="118">
        <v>42.18</v>
      </c>
      <c r="C71" s="128">
        <v>5815.9</v>
      </c>
      <c r="D71" s="80">
        <f t="shared" si="4"/>
        <v>-3.3499839604051215E-2</v>
      </c>
      <c r="E71" s="80">
        <f t="shared" si="5"/>
        <v>-1.8844051555435712E-2</v>
      </c>
    </row>
    <row r="72" spans="1:5" ht="15" customHeight="1" x14ac:dyDescent="0.2">
      <c r="A72" s="122">
        <v>44074</v>
      </c>
      <c r="B72" s="118">
        <v>45.124000000000002</v>
      </c>
      <c r="C72" s="128">
        <v>6060.5</v>
      </c>
      <c r="D72" s="80">
        <f t="shared" si="4"/>
        <v>6.9796111901375121E-2</v>
      </c>
      <c r="E72" s="80">
        <f t="shared" si="5"/>
        <v>4.2057119276466305E-2</v>
      </c>
    </row>
    <row r="73" spans="1:5" ht="15" customHeight="1" x14ac:dyDescent="0.2">
      <c r="A73" s="122">
        <v>44043</v>
      </c>
      <c r="B73" s="118">
        <v>44.042000000000002</v>
      </c>
      <c r="C73" s="128">
        <v>5927.8</v>
      </c>
      <c r="D73" s="80">
        <f t="shared" si="4"/>
        <v>-2.3978370711816344E-2</v>
      </c>
      <c r="E73" s="80">
        <f t="shared" si="5"/>
        <v>-2.1895883177955586E-2</v>
      </c>
    </row>
    <row r="74" spans="1:5" ht="15" customHeight="1" x14ac:dyDescent="0.2">
      <c r="A74" s="122">
        <v>44012</v>
      </c>
      <c r="B74" s="118">
        <v>42.414000000000001</v>
      </c>
      <c r="C74" s="128">
        <v>5897.9</v>
      </c>
      <c r="D74" s="80">
        <f t="shared" si="4"/>
        <v>-3.6964715498842018E-2</v>
      </c>
      <c r="E74" s="80">
        <f t="shared" si="5"/>
        <v>-5.0440298255677559E-3</v>
      </c>
    </row>
    <row r="75" spans="1:5" ht="15" customHeight="1" x14ac:dyDescent="0.2">
      <c r="A75" s="122">
        <v>43982</v>
      </c>
      <c r="B75" s="118">
        <v>38.195</v>
      </c>
      <c r="C75" s="128">
        <v>5755.7</v>
      </c>
      <c r="D75" s="80">
        <f t="shared" si="4"/>
        <v>-9.9471872494930946E-2</v>
      </c>
      <c r="E75" s="80">
        <f t="shared" si="5"/>
        <v>-2.411027653910711E-2</v>
      </c>
    </row>
    <row r="76" spans="1:5" ht="15" customHeight="1" x14ac:dyDescent="0.2">
      <c r="A76" s="122">
        <v>43951</v>
      </c>
      <c r="B76" s="118">
        <v>35.658999999999999</v>
      </c>
      <c r="C76" s="128">
        <v>5522.4</v>
      </c>
      <c r="D76" s="80">
        <f t="shared" si="4"/>
        <v>-6.6396125147270627E-2</v>
      </c>
      <c r="E76" s="80">
        <f t="shared" si="5"/>
        <v>-4.0533731778932221E-2</v>
      </c>
    </row>
    <row r="77" spans="1:5" ht="15" customHeight="1" x14ac:dyDescent="0.2">
      <c r="A77" s="122">
        <v>43921</v>
      </c>
      <c r="B77" s="118">
        <v>32.423000000000002</v>
      </c>
      <c r="C77" s="128">
        <v>5076.8</v>
      </c>
      <c r="D77" s="80">
        <f t="shared" si="4"/>
        <v>-9.0748478644942288E-2</v>
      </c>
      <c r="E77" s="80">
        <f t="shared" si="5"/>
        <v>-8.0689555265826357E-2</v>
      </c>
    </row>
    <row r="78" spans="1:5" ht="15" customHeight="1" x14ac:dyDescent="0.2">
      <c r="A78" s="122">
        <v>43890</v>
      </c>
      <c r="B78" s="118">
        <v>38.459000000000003</v>
      </c>
      <c r="C78" s="128">
        <v>6441.2</v>
      </c>
      <c r="D78" s="80">
        <f t="shared" si="4"/>
        <v>0.18616414273817972</v>
      </c>
      <c r="E78" s="80">
        <f t="shared" si="5"/>
        <v>0.26875196974472099</v>
      </c>
    </row>
    <row r="79" spans="1:5" ht="15" customHeight="1" x14ac:dyDescent="0.2">
      <c r="A79" s="122">
        <v>43861</v>
      </c>
      <c r="B79" s="118">
        <v>42.774000000000001</v>
      </c>
      <c r="C79" s="128">
        <v>7017.2</v>
      </c>
      <c r="D79" s="80">
        <f t="shared" si="4"/>
        <v>0.11219740502873182</v>
      </c>
      <c r="E79" s="80">
        <f t="shared" si="5"/>
        <v>8.9424330870024216E-2</v>
      </c>
    </row>
  </sheetData>
  <mergeCells count="1">
    <mergeCell ref="G3:H3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Income Statement</vt:lpstr>
      <vt:lpstr>FCFE</vt:lpstr>
      <vt:lpstr>Balance Sheet</vt:lpstr>
      <vt:lpstr>Dividend Analysis</vt:lpstr>
      <vt:lpstr>Revenue Forecast</vt:lpstr>
      <vt:lpstr>FCFE &amp; FCFF</vt:lpstr>
      <vt:lpstr>FCFF</vt:lpstr>
      <vt:lpstr>WES.AX Price History</vt:lpstr>
      <vt:lpstr>ASX200 Price History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Mervyn Regeo Varghese (Student)</cp:lastModifiedBy>
  <cp:revision>0</cp:revision>
  <dcterms:created xsi:type="dcterms:W3CDTF">2026-05-29T10:01:17Z</dcterms:created>
  <dcterms:modified xsi:type="dcterms:W3CDTF">2026-10-30T05:19:51Z</dcterms:modified>
  <dc:language>en-US</dc:language>
</cp:coreProperties>
</file>